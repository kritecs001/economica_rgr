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Исходные данные" sheetId="1" state="visible" r:id="rId3"/>
    <sheet name="2.Табл.2 Техпроцесс" sheetId="2" state="visible" r:id="rId4"/>
    <sheet name="3.Табл.6 ФондВремени" sheetId="3" state="visible" r:id="rId5"/>
    <sheet name="4.Табл5_ОборудПлощади" sheetId="4" state="visible" r:id="rId6"/>
    <sheet name="5.Численность персонала" sheetId="5" state="visible" r:id="rId7"/>
    <sheet name="6.Табл8-9_Тарифы" sheetId="6" state="visible" r:id="rId8"/>
    <sheet name="7.Приложение1-2_Штат" sheetId="7" state="visible" r:id="rId9"/>
    <sheet name="8.КапЗатраты(п.3)" sheetId="8" state="visible" r:id="rId10"/>
    <sheet name="9.Прил3_ФОТ_осн.раб" sheetId="9" state="visible" r:id="rId11"/>
    <sheet name="10.Прил4_ФОТ_всп.раб" sheetId="10" state="visible" r:id="rId12"/>
    <sheet name="11.Прил5_ФОТ_РукСпецСлуж" sheetId="11" state="visible" r:id="rId13"/>
    <sheet name="12.Прил6_СредняяЗП" sheetId="12" state="visible" r:id="rId14"/>
    <sheet name="13.Табл10_Материалы" sheetId="13" state="visible" r:id="rId15"/>
    <sheet name="14.Табл12_Амортизация" sheetId="14" state="visible" r:id="rId16"/>
    <sheet name="15.Табл11_Накладные" sheetId="15" state="visible" r:id="rId17"/>
    <sheet name="16.Табл13_Себестоимость" sheetId="16" state="visible" r:id="rId18"/>
    <sheet name="17.Цена_ФинРезультаты" sheetId="17" state="visible" r:id="rId19"/>
    <sheet name="18.Табл15_График" sheetId="18" state="visible" r:id="rId20"/>
    <sheet name="19.Табл16_Итоги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<sst xmlns="http://schemas.openxmlformats.org/spreadsheetml/2006/main" count="508" uniqueCount="335">
  <si>
    <t xml:space="preserve">РГЗ «Организация нового производства (ТЭО)» — Вариант 31</t>
  </si>
  <si>
    <t xml:space="preserve">Параметр</t>
  </si>
  <si>
    <t xml:space="preserve">Значение</t>
  </si>
  <si>
    <t xml:space="preserve">Примечание</t>
  </si>
  <si>
    <t xml:space="preserve">МРОТ, р.</t>
  </si>
  <si>
    <t xml:space="preserve">задано преподавателем</t>
  </si>
  <si>
    <t xml:space="preserve">ДЗП (доп.з/п), %</t>
  </si>
  <si>
    <t xml:space="preserve">табл.1, вариант 31</t>
  </si>
  <si>
    <t xml:space="preserve">Годовой объем выпуска, Q_А, шт</t>
  </si>
  <si>
    <t xml:space="preserve">табл.1</t>
  </si>
  <si>
    <t xml:space="preserve">Порог рентабельности, Пр_А, дн</t>
  </si>
  <si>
    <t xml:space="preserve">Годовой объем выпуска, Q_Б, шт</t>
  </si>
  <si>
    <t xml:space="preserve">Порог рентабельности, Пр_Б, дн</t>
  </si>
  <si>
    <t xml:space="preserve">НДС, %</t>
  </si>
  <si>
    <t xml:space="preserve">п.2.6</t>
  </si>
  <si>
    <t xml:space="preserve">Ставка страховых взносов, %</t>
  </si>
  <si>
    <t xml:space="preserve">Ставка налога на прибыль, %</t>
  </si>
  <si>
    <t xml:space="preserve">Районный коэффициент Кр</t>
  </si>
  <si>
    <t xml:space="preserve">п.6.2</t>
  </si>
  <si>
    <t xml:space="preserve">Число смен Ксм</t>
  </si>
  <si>
    <t xml:space="preserve">п.2.6, двухсменный режим</t>
  </si>
  <si>
    <t xml:space="preserve">Продолжительность смены, ч</t>
  </si>
  <si>
    <t xml:space="preserve">п.5.1</t>
  </si>
  <si>
    <t xml:space="preserve">Доплаты до основной ЗП, %</t>
  </si>
  <si>
    <t xml:space="preserve">Коммерческие расходы, % от произв.с/с</t>
  </si>
  <si>
    <t xml:space="preserve">п.7.1</t>
  </si>
  <si>
    <t xml:space="preserve">№</t>
  </si>
  <si>
    <t xml:space="preserve">Операция</t>
  </si>
  <si>
    <t xml:space="preserve">Разряд</t>
  </si>
  <si>
    <t xml:space="preserve">t_А, н/ч</t>
  </si>
  <si>
    <t xml:space="preserve">t_Б, н/ч</t>
  </si>
  <si>
    <t xml:space="preserve">Квн</t>
  </si>
  <si>
    <t xml:space="preserve">Квыб</t>
  </si>
  <si>
    <t xml:space="preserve">альфа простоя,%</t>
  </si>
  <si>
    <t xml:space="preserve">Станочная</t>
  </si>
  <si>
    <t xml:space="preserve">–</t>
  </si>
  <si>
    <t xml:space="preserve">Слесарная</t>
  </si>
  <si>
    <t xml:space="preserve">Монтажно-сборочная</t>
  </si>
  <si>
    <t xml:space="preserve">Наладочная, регулировочная, испытательная</t>
  </si>
  <si>
    <t xml:space="preserve">Технический контроль качества</t>
  </si>
  <si>
    <t xml:space="preserve">Таблица 6 — Расчет полезного фонда времени</t>
  </si>
  <si>
    <t xml:space="preserve">Состав фонда времени</t>
  </si>
  <si>
    <t xml:space="preserve">Ед.изм.</t>
  </si>
  <si>
    <t xml:space="preserve">Количество</t>
  </si>
  <si>
    <t xml:space="preserve">Процент</t>
  </si>
  <si>
    <t xml:space="preserve">Календарные дни</t>
  </si>
  <si>
    <t xml:space="preserve">Дни</t>
  </si>
  <si>
    <t xml:space="preserve">Выходные и праздничные дни</t>
  </si>
  <si>
    <t xml:space="preserve">Рабочие дни (номинальный фонд времени)</t>
  </si>
  <si>
    <t xml:space="preserve">4.1</t>
  </si>
  <si>
    <t xml:space="preserve">  отпуска основные и дополнительные</t>
  </si>
  <si>
    <t xml:space="preserve">4.2</t>
  </si>
  <si>
    <t xml:space="preserve">  учебные отпуска</t>
  </si>
  <si>
    <t xml:space="preserve">4.3</t>
  </si>
  <si>
    <t xml:space="preserve">  отпуска по беременности и родам</t>
  </si>
  <si>
    <t xml:space="preserve">4.4</t>
  </si>
  <si>
    <t xml:space="preserve">  выполнение гос.обязанностей</t>
  </si>
  <si>
    <t xml:space="preserve">4.5</t>
  </si>
  <si>
    <t xml:space="preserve">  болезни</t>
  </si>
  <si>
    <t xml:space="preserve">Целодневные невыходы, итого</t>
  </si>
  <si>
    <t xml:space="preserve">Явочное время</t>
  </si>
  <si>
    <t xml:space="preserve">Средняя продолжительность рабочего дня</t>
  </si>
  <si>
    <t xml:space="preserve">Час</t>
  </si>
  <si>
    <t xml:space="preserve">Полезный фонд времени (Фп)</t>
  </si>
  <si>
    <t xml:space="preserve">Расчёт потребности в оборудовании, рабочих местах и площадях (п.5)</t>
  </si>
  <si>
    <t xml:space="preserve">Операция №</t>
  </si>
  <si>
    <t xml:space="preserve">Наименование</t>
  </si>
  <si>
    <t xml:space="preserve">α простоя,%</t>
  </si>
  <si>
    <t xml:space="preserve">Fд, час = Fном*tсм*Ксм*(1-α)</t>
  </si>
  <si>
    <t xml:space="preserve">Числитель Σ(Qj*tij)</t>
  </si>
  <si>
    <t xml:space="preserve">Ср расч.</t>
  </si>
  <si>
    <t xml:space="preserve">Ср принято</t>
  </si>
  <si>
    <t xml:space="preserve">Наладочная</t>
  </si>
  <si>
    <t xml:space="preserve">Технический контроль (контролёры, форм.9)</t>
  </si>
  <si>
    <t xml:space="preserve">—</t>
  </si>
  <si>
    <t xml:space="preserve">Расчёт площадей</t>
  </si>
  <si>
    <t xml:space="preserve">Производственная площадь, м2</t>
  </si>
  <si>
    <t xml:space="preserve">Площадь вспомог.помещений, м2 (заполняется по итогам п.6.1)</t>
  </si>
  <si>
    <t xml:space="preserve">Дополнительная площадь, м2 (Sдоп=ЧпΣ/2*4)</t>
  </si>
  <si>
    <t xml:space="preserve">ИТОГО общая площадь Sобщ, м2</t>
  </si>
  <si>
    <t xml:space="preserve">Расчёт численности основных и вспомогательных рабочих (п.6.1)</t>
  </si>
  <si>
    <t xml:space="preserve">Чосн расч.=Числ/(Фп*Квн)</t>
  </si>
  <si>
    <t xml:space="preserve">Чосн принято</t>
  </si>
  <si>
    <t xml:space="preserve">Контролёры (форм.9, принято из л.4)</t>
  </si>
  <si>
    <t xml:space="preserve">ИТОГО основных рабочих</t>
  </si>
  <si>
    <t xml:space="preserve">Вспомогательные рабочие (табл.7)</t>
  </si>
  <si>
    <t xml:space="preserve">Профессия</t>
  </si>
  <si>
    <t xml:space="preserve">Норма на 1 осн.раб.</t>
  </si>
  <si>
    <t xml:space="preserve">Расчётная числ.</t>
  </si>
  <si>
    <t xml:space="preserve">Принято (не менее 2)</t>
  </si>
  <si>
    <t xml:space="preserve">Наладчик оборудования</t>
  </si>
  <si>
    <t xml:space="preserve">Техник по обслуживанию ПТО</t>
  </si>
  <si>
    <t xml:space="preserve">Слесари по ремонту инструмента и приспособлений</t>
  </si>
  <si>
    <t xml:space="preserve">Водитель транспортных средств</t>
  </si>
  <si>
    <t xml:space="preserve">Разнорабочий (складские/трансп.работы)</t>
  </si>
  <si>
    <t xml:space="preserve">Кладовщик инструментального склада</t>
  </si>
  <si>
    <t xml:space="preserve">Кладовщик склада готовой продукции</t>
  </si>
  <si>
    <t xml:space="preserve">ИТОГО вспомогательных рабочих</t>
  </si>
  <si>
    <t xml:space="preserve">Всего рабочих (осн.+всп.)</t>
  </si>
  <si>
    <t xml:space="preserve">Специалисты =MAX(10; 8% от раб.)</t>
  </si>
  <si>
    <t xml:space="preserve">Другие служащие =MAX(11; 11% от (раб+спец))</t>
  </si>
  <si>
    <t xml:space="preserve">Руководители =MAX(2; 2% от (раб+спец+служ))</t>
  </si>
  <si>
    <t xml:space="preserve">ИТОГО персонал предприятия ЧпΣ</t>
  </si>
  <si>
    <t xml:space="preserve">Таблица 8 — Тарифная сетка (8 разрядов)</t>
  </si>
  <si>
    <t xml:space="preserve">Кт</t>
  </si>
  <si>
    <t xml:space="preserve">Тчk,р.</t>
  </si>
  <si>
    <t xml:space="preserve">Таблица 9 — Шкала квалификационных уровней</t>
  </si>
  <si>
    <t xml:space="preserve">Ур.</t>
  </si>
  <si>
    <t xml:space="preserve">Коэфф.</t>
  </si>
  <si>
    <t xml:space="preserve">Приложение 1 — Штатное расписание руководителей, специалистов, других служащих</t>
  </si>
  <si>
    <t xml:space="preserve">Категория</t>
  </si>
  <si>
    <t xml:space="preserve">Должность</t>
  </si>
  <si>
    <t xml:space="preserve">Кол-во, чел.</t>
  </si>
  <si>
    <t xml:space="preserve">Квалиф.уровень</t>
  </si>
  <si>
    <t xml:space="preserve">Оклад, р. =МРОТ*коэфф.ур.</t>
  </si>
  <si>
    <t xml:space="preserve">Руководители</t>
  </si>
  <si>
    <t xml:space="preserve">Директор</t>
  </si>
  <si>
    <t xml:space="preserve">Зам. директора</t>
  </si>
  <si>
    <t xml:space="preserve">Гл. бухгалтер</t>
  </si>
  <si>
    <t xml:space="preserve">Специалисты</t>
  </si>
  <si>
    <t xml:space="preserve">Технолог</t>
  </si>
  <si>
    <t xml:space="preserve">Конструктор</t>
  </si>
  <si>
    <t xml:space="preserve">Программист</t>
  </si>
  <si>
    <t xml:space="preserve">Бухгалтер</t>
  </si>
  <si>
    <t xml:space="preserve">Энергетик</t>
  </si>
  <si>
    <t xml:space="preserve">Мастер</t>
  </si>
  <si>
    <t xml:space="preserve">Механик</t>
  </si>
  <si>
    <t xml:space="preserve">Маркетолог</t>
  </si>
  <si>
    <t xml:space="preserve">Экономист</t>
  </si>
  <si>
    <t xml:space="preserve">Другие служащие</t>
  </si>
  <si>
    <t xml:space="preserve">Агент по снабжению</t>
  </si>
  <si>
    <t xml:space="preserve">Референт</t>
  </si>
  <si>
    <t xml:space="preserve">Экспедитор</t>
  </si>
  <si>
    <t xml:space="preserve">Инспектор отдела кадров</t>
  </si>
  <si>
    <t xml:space="preserve">Уборщик производственных помещений</t>
  </si>
  <si>
    <t xml:space="preserve">Уборщик бытовых помещений</t>
  </si>
  <si>
    <t xml:space="preserve">Проверка: сумма руководителей</t>
  </si>
  <si>
    <t xml:space="preserve">Проверка: сумма специалистов</t>
  </si>
  <si>
    <t xml:space="preserve">Проверка: сумма других служащих</t>
  </si>
  <si>
    <t xml:space="preserve">Раздел 3 — Капитальные (единовременные) затраты</t>
  </si>
  <si>
    <t xml:space="preserve">Статья затрат</t>
  </si>
  <si>
    <t xml:space="preserve">Кратность МРОТ / формула</t>
  </si>
  <si>
    <t xml:space="preserve">Значение, р.</t>
  </si>
  <si>
    <t xml:space="preserve">Подготовка учредит.документов (ПУД) = Зу*МРОТ, Зу=4</t>
  </si>
  <si>
    <t xml:space="preserve">Гос.регистрация предприятия (ГРП) = Зр*МРОТ, Зр=5</t>
  </si>
  <si>
    <t xml:space="preserve">Прочие затраты на регистрацию (ПЗ) = Зпр*МРОТ, Зпр=5</t>
  </si>
  <si>
    <t xml:space="preserve">Станочное оборудование (Зо) = Цо*Сп.с*МРОТ, Цо=1800</t>
  </si>
  <si>
    <t xml:space="preserve">Оборудование оп.2 (слесарное) = Цп*Ср2*МРОТ, Цп=500</t>
  </si>
  <si>
    <t xml:space="preserve">Оборудование оп.3 (монтажно-сборочное)</t>
  </si>
  <si>
    <t xml:space="preserve">Оборудование оп.4 (наладочное)</t>
  </si>
  <si>
    <t xml:space="preserve">Оборудование оп.5 (контроль техпроцессов)</t>
  </si>
  <si>
    <t xml:space="preserve">Производственный и хоз.инвентарь (ЗПХИ) = 750*МРОТ</t>
  </si>
  <si>
    <t xml:space="preserve">Транспортные средства (ЗТРС) = 1300*МРОТ</t>
  </si>
  <si>
    <t xml:space="preserve">Компьютеры и оргтехника (ЗКТ) = 350*МРОТ</t>
  </si>
  <si>
    <t xml:space="preserve">Здания (ЗЗД) = Sобщ*Спл*МРОТ, Спл=15</t>
  </si>
  <si>
    <t xml:space="preserve">ИТОГО капитальные затраты КЗ</t>
  </si>
  <si>
    <t xml:space="preserve">Приложение 3 — Расчёт ФОТ основных рабочих</t>
  </si>
  <si>
    <t xml:space="preserve">Опер.№</t>
  </si>
  <si>
    <t xml:space="preserve">Qа*tА</t>
  </si>
  <si>
    <t xml:space="preserve">ЗПсд.А</t>
  </si>
  <si>
    <t xml:space="preserve">Qб*tБ</t>
  </si>
  <si>
    <t xml:space="preserve">ЗПсд.Б</t>
  </si>
  <si>
    <t xml:space="preserve">ЗПсд.Итого</t>
  </si>
  <si>
    <t xml:space="preserve">ДОС(35%)</t>
  </si>
  <si>
    <t xml:space="preserve">ЗПосн</t>
  </si>
  <si>
    <t xml:space="preserve">ЗПдоп(ДЗП)</t>
  </si>
  <si>
    <t xml:space="preserve">ФОТ</t>
  </si>
  <si>
    <t xml:space="preserve">ИТОГО ФОТ осн.раб.</t>
  </si>
  <si>
    <t xml:space="preserve">Раздельно по изделиям (для табл.13 себестоимости)</t>
  </si>
  <si>
    <t xml:space="preserve">ДОС.А</t>
  </si>
  <si>
    <t xml:space="preserve">ЗПосн.А</t>
  </si>
  <si>
    <t xml:space="preserve">ЗПдоп.А</t>
  </si>
  <si>
    <t xml:space="preserve">ДОС.Б</t>
  </si>
  <si>
    <t xml:space="preserve">ЗПосн.Б</t>
  </si>
  <si>
    <t xml:space="preserve">ЗПдоп.Б</t>
  </si>
  <si>
    <t xml:space="preserve">ИТОГО</t>
  </si>
  <si>
    <t xml:space="preserve">Приложение 4 — Расчёт ФОТ вспомогательных рабочих</t>
  </si>
  <si>
    <t xml:space="preserve">Числ.,чел</t>
  </si>
  <si>
    <t xml:space="preserve">ЗПпр.повр.=Тчk*Фп*Ч*Кр</t>
  </si>
  <si>
    <t xml:space="preserve">Приложение 5 — Расчёт ФОТ руководителей, специалистов, других служащих</t>
  </si>
  <si>
    <t xml:space="preserve">Числ,чел</t>
  </si>
  <si>
    <t xml:space="preserve">Оклад,р.</t>
  </si>
  <si>
    <t xml:space="preserve">ЗПокл=Оклад*Кр</t>
  </si>
  <si>
    <t xml:space="preserve">ФОТгод=(ЗПосн+ЗПдоп)*Ч*12</t>
  </si>
  <si>
    <t xml:space="preserve">  в т.ч. ФОТ Руководителей</t>
  </si>
  <si>
    <t xml:space="preserve">  в т.ч. ФОТ Специалистов</t>
  </si>
  <si>
    <t xml:space="preserve">  в т.ч. ФОТ Других служащих</t>
  </si>
  <si>
    <t xml:space="preserve">Приложение 6 — Средняя заработная плата персонала предприятия</t>
  </si>
  <si>
    <t xml:space="preserve">Категория персонала</t>
  </si>
  <si>
    <t xml:space="preserve">Годовой ФОТ, р.</t>
  </si>
  <si>
    <t xml:space="preserve">Численность, чел.</t>
  </si>
  <si>
    <t xml:space="preserve">Среднемес. ЗП, р.=ФОТ/Ч/12</t>
  </si>
  <si>
    <t xml:space="preserve">Рабочие, в т.ч.:</t>
  </si>
  <si>
    <t xml:space="preserve">   основные</t>
  </si>
  <si>
    <t xml:space="preserve">   вспомогательные</t>
  </si>
  <si>
    <t xml:space="preserve">ИТОГО по предприятию</t>
  </si>
  <si>
    <t xml:space="preserve">Таблица 10 — Расшифровка затрат по статье «Сырьё и материалы»</t>
  </si>
  <si>
    <t xml:space="preserve">Изделие</t>
  </si>
  <si>
    <t xml:space="preserve">Материал</t>
  </si>
  <si>
    <t xml:space="preserve">Норма расх.</t>
  </si>
  <si>
    <t xml:space="preserve">Цена с НДС,р.</t>
  </si>
  <si>
    <t xml:space="preserve">Цена без НДС,р.=Ц/1.22</t>
  </si>
  <si>
    <t xml:space="preserve">Сумма на 1шт,р.</t>
  </si>
  <si>
    <t xml:space="preserve">Сумма на всё кол-во,р.</t>
  </si>
  <si>
    <t xml:space="preserve">А</t>
  </si>
  <si>
    <t xml:space="preserve">М1</t>
  </si>
  <si>
    <t xml:space="preserve">кг</t>
  </si>
  <si>
    <t xml:space="preserve">Д1</t>
  </si>
  <si>
    <t xml:space="preserve">шт</t>
  </si>
  <si>
    <t xml:space="preserve">Д2</t>
  </si>
  <si>
    <t xml:space="preserve">Д3</t>
  </si>
  <si>
    <t xml:space="preserve">ИТОГО материалов на изделие А</t>
  </si>
  <si>
    <t xml:space="preserve">Б</t>
  </si>
  <si>
    <t xml:space="preserve">М2</t>
  </si>
  <si>
    <t xml:space="preserve">М3</t>
  </si>
  <si>
    <t xml:space="preserve">ИТОГО материалов на изделие Б</t>
  </si>
  <si>
    <t xml:space="preserve">Таблица 12 — Расчёт амортизационных отчислений</t>
  </si>
  <si>
    <t xml:space="preserve">Основные средства</t>
  </si>
  <si>
    <t xml:space="preserve">Аморт.группа</t>
  </si>
  <si>
    <t xml:space="preserve">Тспи,лет</t>
  </si>
  <si>
    <t xml:space="preserve">Фперв,р.</t>
  </si>
  <si>
    <t xml:space="preserve">Ао=Фперв/Тспи,р.</t>
  </si>
  <si>
    <t xml:space="preserve">Здание</t>
  </si>
  <si>
    <t xml:space="preserve">Станочное оборудование</t>
  </si>
  <si>
    <t xml:space="preserve">Наладочное/регулир./испытат.оборудование</t>
  </si>
  <si>
    <t xml:space="preserve">Оборуд. для контроля техпроцессов</t>
  </si>
  <si>
    <t xml:space="preserve">Произв. и хоз.инвентарь</t>
  </si>
  <si>
    <t xml:space="preserve">Транспортные средства</t>
  </si>
  <si>
    <t xml:space="preserve">Слесарное оборудование</t>
  </si>
  <si>
    <t xml:space="preserve">Монтажно-сборочное оборудование</t>
  </si>
  <si>
    <t xml:space="preserve">Компьютеры и оргтехника</t>
  </si>
  <si>
    <t xml:space="preserve">ИТОГО годовая амортизация</t>
  </si>
  <si>
    <t xml:space="preserve">Таблица 11 — Смета затрат накладных расходов (годовая)</t>
  </si>
  <si>
    <t xml:space="preserve">Статья расходов</t>
  </si>
  <si>
    <t xml:space="preserve">Сумма, р.</t>
  </si>
  <si>
    <t xml:space="preserve">1</t>
  </si>
  <si>
    <t xml:space="preserve">Затраты на оплату труда (ФОТ рук+спец+служ+всп.раб)</t>
  </si>
  <si>
    <t xml:space="preserve">2</t>
  </si>
  <si>
    <t xml:space="preserve">Страховые взносы (30% от п.1)</t>
  </si>
  <si>
    <t xml:space="preserve">3</t>
  </si>
  <si>
    <t xml:space="preserve">Амортизационные отчисления (табл.12)</t>
  </si>
  <si>
    <t xml:space="preserve">4</t>
  </si>
  <si>
    <t xml:space="preserve">Прочие расходы (60% от п.1)</t>
  </si>
  <si>
    <t xml:space="preserve">5</t>
  </si>
  <si>
    <t xml:space="preserve">ИТОГО общая сумма накладных расходов</t>
  </si>
  <si>
    <t xml:space="preserve">6</t>
  </si>
  <si>
    <t xml:space="preserve">База распределения: Осн.ЗП осн.рабочих (все изделия)</t>
  </si>
  <si>
    <t xml:space="preserve">7</t>
  </si>
  <si>
    <t xml:space="preserve">Процент накладных расходов =(5:6)*100%, округл. вверх до 2 знаков</t>
  </si>
  <si>
    <t xml:space="preserve">Таблица 13 — Калькуляция по изделиям «А» и «Б»</t>
  </si>
  <si>
    <t xml:space="preserve">Статья калькуляции</t>
  </si>
  <si>
    <t xml:space="preserve">А: на 1шт</t>
  </si>
  <si>
    <t xml:space="preserve">А: на всё</t>
  </si>
  <si>
    <t xml:space="preserve">Б: на 1шт</t>
  </si>
  <si>
    <t xml:space="preserve">Б: на всё</t>
  </si>
  <si>
    <t xml:space="preserve">Сырьё и материалы</t>
  </si>
  <si>
    <t xml:space="preserve">Осн.ЗП осн.рабочих</t>
  </si>
  <si>
    <t xml:space="preserve">Доп.ЗП осн.рабочих</t>
  </si>
  <si>
    <t xml:space="preserve">Страховые взносы (30% от (2+3))</t>
  </si>
  <si>
    <t xml:space="preserve">Накладные расходы (%НР*ст.2)</t>
  </si>
  <si>
    <t xml:space="preserve">Производственная себестоимость (1+2+3+4+5)</t>
  </si>
  <si>
    <t xml:space="preserve">Коммерческие расходы (15% от ст.6)</t>
  </si>
  <si>
    <t xml:space="preserve">ПОЛНАЯ себестоимость (6+7)</t>
  </si>
  <si>
    <t xml:space="preserve">Раздел 7.2-7.3 — Цена изделий, точка безубыточности, финансовые результаты</t>
  </si>
  <si>
    <t xml:space="preserve">Показатель</t>
  </si>
  <si>
    <t xml:space="preserve">Изделие А</t>
  </si>
  <si>
    <t xml:space="preserve">Изделие Б</t>
  </si>
  <si>
    <t xml:space="preserve">Точка безубыточности K = Q*Пр/365, шт (округл.)</t>
  </si>
  <si>
    <t xml:space="preserve">Пост.затраты Зпост=НРвсе+КРвсе, р.</t>
  </si>
  <si>
    <t xml:space="preserve">Перем.затраты на 1шт Зпер.уд (мат+ЗПосн+ЗПдоп+СВ на ед.), р.</t>
  </si>
  <si>
    <t xml:space="preserve">Цена Ц = Зпост/K + Зпер.уд, р. (2 знака)</t>
  </si>
  <si>
    <t xml:space="preserve">Проверка: в т.безуб. Себестоимость=Выручка (допуск ~30-45р)</t>
  </si>
  <si>
    <t xml:space="preserve">Финансовые результаты (табл.14)</t>
  </si>
  <si>
    <t xml:space="preserve">По предприятию</t>
  </si>
  <si>
    <t xml:space="preserve">Выручка от продажи В=Ц*Q, р.</t>
  </si>
  <si>
    <t xml:space="preserve">Переменные затраты на объём=Зпер.уд*Q, р.</t>
  </si>
  <si>
    <t xml:space="preserve">Маржинальная прибыль Пмарж=В-Зпер, р.</t>
  </si>
  <si>
    <t xml:space="preserve">Постоянные затраты на объём, р.</t>
  </si>
  <si>
    <t xml:space="preserve">Прибыль от продаж Ппрод=Пмарж-Зпост, р.</t>
  </si>
  <si>
    <t xml:space="preserve">Налог на прибыль НП=25%*Ппрод, р.</t>
  </si>
  <si>
    <t xml:space="preserve">Чистая прибыль Пчист=Ппрод-НП, р.</t>
  </si>
  <si>
    <t xml:space="preserve">Рентабельность продукции Rпрод=Ппрод/(Зпост+Зпер)*100,% (3 знака)</t>
  </si>
  <si>
    <t xml:space="preserve">Рентабельность продаж Rпродаж=Ппрод/В*100,% (3 знака)</t>
  </si>
  <si>
    <t xml:space="preserve">Таблица 15 — Данные для построения графика безубыточности</t>
  </si>
  <si>
    <t xml:space="preserve">Q,шт</t>
  </si>
  <si>
    <t xml:space="preserve">Зпер.уд</t>
  </si>
  <si>
    <t xml:space="preserve">ЗперΣ=Зпер.уд*Q</t>
  </si>
  <si>
    <t xml:space="preserve">ЗпостΣ</t>
  </si>
  <si>
    <t xml:space="preserve">SполΣ=ЗперΣ+ЗпостΣ</t>
  </si>
  <si>
    <t xml:space="preserve">Цуд</t>
  </si>
  <si>
    <t xml:space="preserve">В=Цуд*Q</t>
  </si>
  <si>
    <t xml:space="preserve">0</t>
  </si>
  <si>
    <t xml:space="preserve">К_А (т.безуб.)</t>
  </si>
  <si>
    <t xml:space="preserve">Q_А (годовой)</t>
  </si>
  <si>
    <t xml:space="preserve">К_Б (т.безуб.)</t>
  </si>
  <si>
    <t xml:space="preserve">Q_Б (годовой)</t>
  </si>
  <si>
    <t xml:space="preserve">Таблица 16 — Показатели деятельности предприятия</t>
  </si>
  <si>
    <t xml:space="preserve">Наименование показателя</t>
  </si>
  <si>
    <t xml:space="preserve">Результат</t>
  </si>
  <si>
    <t xml:space="preserve">Капитальные (единовременные) затраты</t>
  </si>
  <si>
    <t xml:space="preserve">р.</t>
  </si>
  <si>
    <t xml:space="preserve">Общая площадь</t>
  </si>
  <si>
    <t xml:space="preserve">м2</t>
  </si>
  <si>
    <t xml:space="preserve">Численность работников предприятия, всего</t>
  </si>
  <si>
    <t xml:space="preserve">чел.</t>
  </si>
  <si>
    <t xml:space="preserve">3.1</t>
  </si>
  <si>
    <t xml:space="preserve">  в т.ч. рабочих</t>
  </si>
  <si>
    <t xml:space="preserve">3.2</t>
  </si>
  <si>
    <t xml:space="preserve">  руководителей</t>
  </si>
  <si>
    <t xml:space="preserve">3.3</t>
  </si>
  <si>
    <t xml:space="preserve">  специалистов</t>
  </si>
  <si>
    <t xml:space="preserve">3.4</t>
  </si>
  <si>
    <t xml:space="preserve">  других служащих</t>
  </si>
  <si>
    <t xml:space="preserve">5.1</t>
  </si>
  <si>
    <t xml:space="preserve">Себестоимость единицы изделия «А»</t>
  </si>
  <si>
    <t xml:space="preserve">5.2</t>
  </si>
  <si>
    <t xml:space="preserve">Себестоимость единицы изделия «Б»</t>
  </si>
  <si>
    <t xml:space="preserve">6.1</t>
  </si>
  <si>
    <t xml:space="preserve">Прогнозируемая цена единицы изделия «А»</t>
  </si>
  <si>
    <t xml:space="preserve">6.2</t>
  </si>
  <si>
    <t xml:space="preserve">Прогнозируемая цена единицы изделия «Б»</t>
  </si>
  <si>
    <t xml:space="preserve">Выручка от реализации продукции</t>
  </si>
  <si>
    <t xml:space="preserve">8</t>
  </si>
  <si>
    <t xml:space="preserve">Маржинальный доход (прибыль)</t>
  </si>
  <si>
    <t xml:space="preserve">9</t>
  </si>
  <si>
    <t xml:space="preserve">Прибыль от продаж</t>
  </si>
  <si>
    <t xml:space="preserve">10</t>
  </si>
  <si>
    <t xml:space="preserve">Чистая прибыль</t>
  </si>
  <si>
    <t xml:space="preserve">11</t>
  </si>
  <si>
    <t xml:space="preserve">Рентабельность предприятия (капзатрат) Rкз=Пчист/КЗ*100</t>
  </si>
  <si>
    <t xml:space="preserve">%</t>
  </si>
  <si>
    <t xml:space="preserve">12</t>
  </si>
  <si>
    <t xml:space="preserve">Срок окупаемости капитальных затрат Ток=КЗ/Пчист</t>
  </si>
  <si>
    <t xml:space="preserve">лет</t>
  </si>
  <si>
    <t xml:space="preserve">Вывод: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</si>
</sst>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  <font>
      <b val="true"/>
      <sz val="12"/>
      <name val="Times New Roman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График безубыточности — Изделие 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'18.Табл15_График'!F3</c:f>
              <c:strCache>
                <c:ptCount val="1"/>
                <c:pt idx="0">
                  <c:v>SполΣ=ЗперΣ+ЗпостΣ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'18.Табл15_График'!$B$4:$B$6</c:f>
              <c:strCache>
                <c:ptCount val="3"/>
                <c:pt idx="0">
                  <c:v>0</c:v>
                </c:pt>
                <c:pt idx="1">
                  <c:v>К_А (т.безуб.)</c:v>
                </c:pt>
                <c:pt idx="2">
                  <c:v>Q_А (годовой)</c:v>
                </c:pt>
              </c:strCache>
            </c:strRef>
          </c:cat>
          <c:val>
            <c:numRef>
              <c:f>'18.Табл15_График'!$F$4:$F$6</c:f>
              <c:numCache>
                <c:formatCode>#,##0.00</c:formatCode>
                <c:ptCount val="3"/>
                <c:pt idx="0">
                  <c:v>234030771.419175</c:v>
                </c:pt>
                <c:pt idx="1">
                  <c:v>277003363.902165</c:v>
                </c:pt>
                <c:pt idx="2">
                  <c:v>321160926.494175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'18.Табл15_График'!H3</c:f>
              <c:strCache>
                <c:ptCount val="1"/>
                <c:pt idx="0">
                  <c:v>В=Цуд*Q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'18.Табл15_График'!$B$4:$B$6</c:f>
              <c:strCache>
                <c:ptCount val="3"/>
                <c:pt idx="0">
                  <c:v>0</c:v>
                </c:pt>
                <c:pt idx="1">
                  <c:v>К_А (т.безуб.)</c:v>
                </c:pt>
                <c:pt idx="2">
                  <c:v>Q_А (годовой)</c:v>
                </c:pt>
              </c:strCache>
            </c:strRef>
          </c:cat>
          <c:val>
            <c:numRef>
              <c:f>'18.Табл15_График'!$H$4:$H$6</c:f>
              <c:numCache>
                <c:formatCode>#,##0.00</c:formatCode>
                <c:ptCount val="3"/>
                <c:pt idx="0">
                  <c:v>0</c:v>
                </c:pt>
                <c:pt idx="1">
                  <c:v>277003350.99</c:v>
                </c:pt>
                <c:pt idx="2">
                  <c:v>561645075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358087"/>
        <c:axId val="71615898"/>
      </c:lineChart>
      <c:catAx>
        <c:axId val="483580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Объём продаж, шт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615898"/>
        <c:crosses val="autoZero"/>
        <c:auto val="1"/>
        <c:lblAlgn val="ctr"/>
        <c:lblOffset val="100"/>
        <c:noMultiLvlLbl val="0"/>
      </c:catAx>
      <c:valAx>
        <c:axId val="716158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Руб.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3580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0</xdr:rowOff>
    </xdr:from>
    <xdr:to>
      <xdr:col>17</xdr:col>
      <xdr:colOff>507600</xdr:colOff>
      <xdr:row>15</xdr:row>
      <xdr:rowOff>91440</xdr:rowOff>
    </xdr:to>
    <xdr:graphicFrame>
      <xdr:nvGraphicFramePr>
        <xdr:cNvPr id="0" name="Chart 1"/>
        <xdr:cNvGraphicFramePr/>
      </xdr:nvGraphicFramePr>
      <xdr:xfrm>
        <a:off x="850572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v>27093</v>
      </c>
      <c r="C4" s="3" t="s">
        <v>5</v>
      </c>
    </row>
    <row r="5" customFormat="false" ht="15" hidden="false" customHeight="false" outlineLevel="0" collapsed="false">
      <c r="A5" s="3" t="s">
        <v>6</v>
      </c>
      <c r="B5" s="4" t="n">
        <v>0.15</v>
      </c>
      <c r="C5" s="3" t="s">
        <v>7</v>
      </c>
    </row>
    <row r="6" customFormat="false" ht="15" hidden="false" customHeight="false" outlineLevel="0" collapsed="false">
      <c r="A6" s="3" t="s">
        <v>8</v>
      </c>
      <c r="B6" s="4" t="n">
        <v>7500</v>
      </c>
      <c r="C6" s="3" t="s">
        <v>9</v>
      </c>
    </row>
    <row r="7" customFormat="false" ht="15" hidden="false" customHeight="false" outlineLevel="0" collapsed="false">
      <c r="A7" s="3" t="s">
        <v>10</v>
      </c>
      <c r="B7" s="4" t="n">
        <v>180</v>
      </c>
      <c r="C7" s="3" t="s">
        <v>9</v>
      </c>
    </row>
    <row r="8" customFormat="false" ht="15" hidden="false" customHeight="false" outlineLevel="0" collapsed="false">
      <c r="A8" s="3" t="s">
        <v>11</v>
      </c>
      <c r="B8" s="4" t="n">
        <v>3100</v>
      </c>
      <c r="C8" s="3" t="s">
        <v>9</v>
      </c>
    </row>
    <row r="9" customFormat="false" ht="15" hidden="false" customHeight="false" outlineLevel="0" collapsed="false">
      <c r="A9" s="3" t="s">
        <v>12</v>
      </c>
      <c r="B9" s="4" t="n">
        <v>180</v>
      </c>
      <c r="C9" s="3" t="s">
        <v>9</v>
      </c>
    </row>
    <row r="10" customFormat="false" ht="15" hidden="false" customHeight="false" outlineLevel="0" collapsed="false">
      <c r="A10" s="3" t="s">
        <v>13</v>
      </c>
      <c r="B10" s="4" t="n">
        <v>0.22</v>
      </c>
      <c r="C10" s="3" t="s">
        <v>14</v>
      </c>
    </row>
    <row r="11" customFormat="false" ht="15" hidden="false" customHeight="false" outlineLevel="0" collapsed="false">
      <c r="A11" s="3" t="s">
        <v>15</v>
      </c>
      <c r="B11" s="4" t="n">
        <v>0.3</v>
      </c>
      <c r="C11" s="3" t="s">
        <v>14</v>
      </c>
    </row>
    <row r="12" customFormat="false" ht="15" hidden="false" customHeight="false" outlineLevel="0" collapsed="false">
      <c r="A12" s="3" t="s">
        <v>16</v>
      </c>
      <c r="B12" s="4" t="n">
        <v>0.25</v>
      </c>
      <c r="C12" s="3" t="s">
        <v>14</v>
      </c>
    </row>
    <row r="13" customFormat="false" ht="15" hidden="false" customHeight="false" outlineLevel="0" collapsed="false">
      <c r="A13" s="3" t="s">
        <v>17</v>
      </c>
      <c r="B13" s="4" t="n">
        <v>1.25</v>
      </c>
      <c r="C13" s="3" t="s">
        <v>18</v>
      </c>
    </row>
    <row r="14" customFormat="false" ht="15" hidden="false" customHeight="false" outlineLevel="0" collapsed="false">
      <c r="A14" s="3" t="s">
        <v>19</v>
      </c>
      <c r="B14" s="4" t="n">
        <v>2</v>
      </c>
      <c r="C14" s="3" t="s">
        <v>20</v>
      </c>
    </row>
    <row r="15" customFormat="false" ht="15" hidden="false" customHeight="false" outlineLevel="0" collapsed="false">
      <c r="A15" s="3" t="s">
        <v>21</v>
      </c>
      <c r="B15" s="4" t="n">
        <v>8</v>
      </c>
      <c r="C15" s="3" t="s">
        <v>22</v>
      </c>
    </row>
    <row r="16" customFormat="false" ht="15" hidden="false" customHeight="false" outlineLevel="0" collapsed="false">
      <c r="A16" s="3" t="s">
        <v>23</v>
      </c>
      <c r="B16" s="4" t="n">
        <v>0.35</v>
      </c>
      <c r="C16" s="3" t="s">
        <v>18</v>
      </c>
    </row>
    <row r="17" customFormat="false" ht="15" hidden="false" customHeight="false" outlineLevel="0" collapsed="false">
      <c r="A17" s="3" t="s">
        <v>24</v>
      </c>
      <c r="B17" s="4" t="n">
        <v>0.15</v>
      </c>
      <c r="C17" s="3" t="s">
        <v>25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5" min="4" style="0" width="10"/>
    <col collapsed="false" customWidth="true" hidden="false" outlineLevel="0" max="7" min="6" style="0" width="8"/>
    <col collapsed="false" customWidth="true" hidden="false" outlineLevel="0" max="8" min="8" style="0" width="14"/>
  </cols>
  <sheetData>
    <row r="1" customFormat="false" ht="25.35" hidden="false" customHeight="false" outlineLevel="0" collapsed="false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</row>
    <row r="2" customFormat="false" ht="15" hidden="false" customHeight="false" outlineLevel="0" collapsed="false">
      <c r="A2" s="5" t="n">
        <v>1</v>
      </c>
      <c r="B2" s="5" t="s">
        <v>34</v>
      </c>
      <c r="C2" s="5" t="n">
        <v>4</v>
      </c>
      <c r="D2" s="5" t="n">
        <v>1.8</v>
      </c>
      <c r="E2" s="5" t="n">
        <v>2.5</v>
      </c>
      <c r="F2" s="5" t="n">
        <v>1.03</v>
      </c>
      <c r="G2" s="5" t="s">
        <v>35</v>
      </c>
      <c r="H2" s="5" t="n">
        <v>6</v>
      </c>
    </row>
    <row r="3" customFormat="false" ht="15" hidden="false" customHeight="false" outlineLevel="0" collapsed="false">
      <c r="A3" s="5" t="n">
        <v>2</v>
      </c>
      <c r="B3" s="5" t="s">
        <v>36</v>
      </c>
      <c r="C3" s="5" t="n">
        <v>4</v>
      </c>
      <c r="D3" s="5" t="n">
        <v>2.4</v>
      </c>
      <c r="E3" s="5" t="n">
        <v>2.9</v>
      </c>
      <c r="F3" s="5" t="n">
        <v>1</v>
      </c>
      <c r="G3" s="5" t="s">
        <v>35</v>
      </c>
      <c r="H3" s="5" t="n">
        <v>6</v>
      </c>
    </row>
    <row r="4" customFormat="false" ht="15" hidden="false" customHeight="false" outlineLevel="0" collapsed="false">
      <c r="A4" s="5" t="n">
        <v>3</v>
      </c>
      <c r="B4" s="5" t="s">
        <v>37</v>
      </c>
      <c r="C4" s="5" t="n">
        <v>3</v>
      </c>
      <c r="D4" s="5" t="n">
        <v>4.3</v>
      </c>
      <c r="E4" s="5" t="n">
        <v>5</v>
      </c>
      <c r="F4" s="5" t="n">
        <v>1</v>
      </c>
      <c r="G4" s="5" t="s">
        <v>35</v>
      </c>
      <c r="H4" s="5" t="n">
        <v>0</v>
      </c>
    </row>
    <row r="5" customFormat="false" ht="25.35" hidden="false" customHeight="false" outlineLevel="0" collapsed="false">
      <c r="A5" s="5" t="n">
        <v>4</v>
      </c>
      <c r="B5" s="5" t="s">
        <v>38</v>
      </c>
      <c r="C5" s="5" t="n">
        <v>5</v>
      </c>
      <c r="D5" s="5" t="n">
        <v>6.5</v>
      </c>
      <c r="E5" s="5" t="n">
        <v>9.6</v>
      </c>
      <c r="F5" s="5" t="n">
        <v>1</v>
      </c>
      <c r="G5" s="5" t="s">
        <v>35</v>
      </c>
      <c r="H5" s="5" t="n">
        <v>0</v>
      </c>
    </row>
    <row r="6" customFormat="false" ht="15" hidden="false" customHeight="false" outlineLevel="0" collapsed="false">
      <c r="A6" s="5" t="n">
        <v>5</v>
      </c>
      <c r="B6" s="5" t="s">
        <v>39</v>
      </c>
      <c r="C6" s="5" t="n">
        <v>3</v>
      </c>
      <c r="D6" s="5" t="n">
        <v>0.5</v>
      </c>
      <c r="E6" s="5" t="n">
        <v>0.6</v>
      </c>
      <c r="F6" s="5" t="s">
        <v>35</v>
      </c>
      <c r="G6" s="5" t="n">
        <v>0.5</v>
      </c>
      <c r="H6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6" t="s">
        <v>40</v>
      </c>
      <c r="B1" s="6"/>
      <c r="C1" s="6"/>
      <c r="D1" s="6"/>
      <c r="E1" s="6"/>
    </row>
    <row r="2" customFormat="false" ht="15" hidden="false" customHeight="false" outlineLevel="0" collapsed="false">
      <c r="A2" s="2" t="s">
        <v>26</v>
      </c>
      <c r="B2" s="2" t="s">
        <v>41</v>
      </c>
      <c r="C2" s="2" t="s">
        <v>42</v>
      </c>
      <c r="D2" s="2" t="s">
        <v>43</v>
      </c>
      <c r="E2" s="2" t="s">
        <v>44</v>
      </c>
    </row>
    <row r="3" customFormat="false" ht="15" hidden="false" customHeight="false" outlineLevel="0" collapsed="false">
      <c r="A3" s="5" t="n">
        <v>1</v>
      </c>
      <c r="B3" s="5" t="s">
        <v>45</v>
      </c>
      <c r="C3" s="5" t="s">
        <v>46</v>
      </c>
      <c r="D3" s="5" t="n">
        <v>365</v>
      </c>
      <c r="E3" s="5"/>
    </row>
    <row r="4" customFormat="false" ht="15" hidden="false" customHeight="false" outlineLevel="0" collapsed="false">
      <c r="A4" s="5" t="n">
        <v>2</v>
      </c>
      <c r="B4" s="5" t="s">
        <v>47</v>
      </c>
      <c r="C4" s="5" t="s">
        <v>46</v>
      </c>
      <c r="D4" s="5" t="n">
        <v>118</v>
      </c>
      <c r="E4" s="5"/>
    </row>
    <row r="5" customFormat="false" ht="15" hidden="false" customHeight="false" outlineLevel="0" collapsed="false">
      <c r="A5" s="5" t="n">
        <v>3</v>
      </c>
      <c r="B5" s="5" t="s">
        <v>48</v>
      </c>
      <c r="C5" s="5" t="s">
        <v>46</v>
      </c>
      <c r="D5" s="5" t="n">
        <f aca="false">D3-D4</f>
        <v>247</v>
      </c>
      <c r="E5" s="5" t="n">
        <v>100</v>
      </c>
    </row>
    <row r="6" customFormat="false" ht="15" hidden="false" customHeight="false" outlineLevel="0" collapsed="false">
      <c r="A6" s="5" t="s">
        <v>49</v>
      </c>
      <c r="B6" s="5" t="s">
        <v>50</v>
      </c>
      <c r="C6" s="5" t="s">
        <v>46</v>
      </c>
      <c r="D6" s="5" t="n">
        <f aca="false">ROUND(D$5*6/100,0)</f>
        <v>15</v>
      </c>
      <c r="E6" s="5" t="n">
        <v>6</v>
      </c>
    </row>
    <row r="7" customFormat="false" ht="15" hidden="false" customHeight="false" outlineLevel="0" collapsed="false">
      <c r="A7" s="5" t="s">
        <v>51</v>
      </c>
      <c r="B7" s="5" t="s">
        <v>52</v>
      </c>
      <c r="C7" s="5" t="s">
        <v>46</v>
      </c>
      <c r="D7" s="5" t="n">
        <f aca="false">ROUND(D$5*0.6/100,0)</f>
        <v>1</v>
      </c>
      <c r="E7" s="5" t="n">
        <v>0.6</v>
      </c>
    </row>
    <row r="8" customFormat="false" ht="15" hidden="false" customHeight="false" outlineLevel="0" collapsed="false">
      <c r="A8" s="5" t="s">
        <v>53</v>
      </c>
      <c r="B8" s="5" t="s">
        <v>54</v>
      </c>
      <c r="C8" s="5" t="s">
        <v>46</v>
      </c>
      <c r="D8" s="5" t="n">
        <f aca="false">ROUND(D$5*0.6/100,0)</f>
        <v>1</v>
      </c>
      <c r="E8" s="5" t="n">
        <v>0.6</v>
      </c>
    </row>
    <row r="9" customFormat="false" ht="15" hidden="false" customHeight="false" outlineLevel="0" collapsed="false">
      <c r="A9" s="5" t="s">
        <v>55</v>
      </c>
      <c r="B9" s="5" t="s">
        <v>56</v>
      </c>
      <c r="C9" s="5" t="s">
        <v>46</v>
      </c>
      <c r="D9" s="5" t="n">
        <f aca="false">ROUND(D$5*0.4/100,0)</f>
        <v>1</v>
      </c>
      <c r="E9" s="5" t="n">
        <v>0.4</v>
      </c>
    </row>
    <row r="10" customFormat="false" ht="15" hidden="false" customHeight="false" outlineLevel="0" collapsed="false">
      <c r="A10" s="5" t="s">
        <v>57</v>
      </c>
      <c r="B10" s="5" t="s">
        <v>58</v>
      </c>
      <c r="C10" s="5" t="s">
        <v>46</v>
      </c>
      <c r="D10" s="5" t="n">
        <f aca="false">ROUND(D$5*2.6/100,0)</f>
        <v>6</v>
      </c>
      <c r="E10" s="5" t="n">
        <v>2.6</v>
      </c>
    </row>
    <row r="11" customFormat="false" ht="15" hidden="false" customHeight="false" outlineLevel="0" collapsed="false">
      <c r="A11" s="5" t="n">
        <v>4</v>
      </c>
      <c r="B11" s="5" t="s">
        <v>59</v>
      </c>
      <c r="C11" s="5" t="s">
        <v>46</v>
      </c>
      <c r="D11" s="5" t="n">
        <f aca="false">SUM(D6:D10)</f>
        <v>24</v>
      </c>
      <c r="E11" s="5" t="n">
        <v>10.2</v>
      </c>
    </row>
    <row r="12" customFormat="false" ht="15" hidden="false" customHeight="false" outlineLevel="0" collapsed="false">
      <c r="A12" s="5" t="n">
        <v>5</v>
      </c>
      <c r="B12" s="5" t="s">
        <v>60</v>
      </c>
      <c r="C12" s="5" t="s">
        <v>46</v>
      </c>
      <c r="D12" s="5" t="n">
        <f aca="false">D5-D11</f>
        <v>223</v>
      </c>
      <c r="E12" s="5"/>
    </row>
    <row r="13" customFormat="false" ht="15" hidden="false" customHeight="false" outlineLevel="0" collapsed="false">
      <c r="A13" s="5" t="n">
        <v>6</v>
      </c>
      <c r="B13" s="5" t="s">
        <v>61</v>
      </c>
      <c r="C13" s="5" t="s">
        <v>62</v>
      </c>
      <c r="D13" s="5" t="n">
        <v>8</v>
      </c>
      <c r="E13" s="5"/>
    </row>
    <row r="14" customFormat="false" ht="15" hidden="false" customHeight="false" outlineLevel="0" collapsed="false">
      <c r="A14" s="5" t="n">
        <v>7</v>
      </c>
      <c r="B14" s="5" t="s">
        <v>63</v>
      </c>
      <c r="C14" s="5" t="s">
        <v>62</v>
      </c>
      <c r="D14" s="5" t="n">
        <f aca="false">D12*D13</f>
        <v>1784</v>
      </c>
      <c r="E14" s="5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8" min="7" style="0" width="10"/>
  </cols>
  <sheetData>
    <row r="1" customFormat="false" ht="15" hidden="false" customHeight="false" outlineLevel="0" collapsed="false">
      <c r="A1" s="6" t="s">
        <v>64</v>
      </c>
      <c r="B1" s="6"/>
      <c r="C1" s="6"/>
      <c r="D1" s="6"/>
      <c r="E1" s="6"/>
      <c r="F1" s="6"/>
      <c r="G1" s="6"/>
      <c r="H1" s="6"/>
    </row>
    <row r="3" customFormat="false" ht="37.3" hidden="false" customHeight="false" outlineLevel="0" collapsed="false">
      <c r="A3" s="2" t="s">
        <v>65</v>
      </c>
      <c r="B3" s="2" t="s">
        <v>66</v>
      </c>
      <c r="C3" s="2" t="s">
        <v>67</v>
      </c>
      <c r="D3" s="2" t="s">
        <v>68</v>
      </c>
      <c r="E3" s="2" t="s">
        <v>69</v>
      </c>
      <c r="F3" s="2" t="s">
        <v>31</v>
      </c>
      <c r="G3" s="2" t="s">
        <v>70</v>
      </c>
      <c r="H3" s="2" t="s">
        <v>71</v>
      </c>
    </row>
    <row r="4" customFormat="false" ht="15" hidden="false" customHeight="false" outlineLevel="0" collapsed="false">
      <c r="A4" s="5" t="n">
        <v>1</v>
      </c>
      <c r="B4" s="5" t="s">
        <v>34</v>
      </c>
      <c r="C4" s="5" t="n">
        <v>6</v>
      </c>
      <c r="D4" s="5" t="n">
        <f aca="false">'3.Табл.6 ФондВремени'!D5*'1.Исходные данные'!B15*'1.Исходные данные'!B14*(1-C4/100)</f>
        <v>3714.88</v>
      </c>
      <c r="E4" s="5" t="n">
        <f aca="false">'1.Исходные данные'!B6*'2.Табл.2 Техпроцесс'!D2+'1.Исходные данные'!B8*'2.Табл.2 Техпроцесс'!E2</f>
        <v>21250</v>
      </c>
      <c r="F4" s="5" t="n">
        <v>1.03</v>
      </c>
      <c r="G4" s="5" t="n">
        <f aca="false">E4/(D4*F4)</f>
        <v>5.55362971648211</v>
      </c>
      <c r="H4" s="5" t="n">
        <f aca="false">ROUND(G4,0)</f>
        <v>6</v>
      </c>
    </row>
    <row r="5" customFormat="false" ht="15" hidden="false" customHeight="false" outlineLevel="0" collapsed="false">
      <c r="A5" s="5" t="n">
        <v>2</v>
      </c>
      <c r="B5" s="5" t="s">
        <v>36</v>
      </c>
      <c r="C5" s="5" t="n">
        <v>6</v>
      </c>
      <c r="D5" s="5" t="n">
        <f aca="false">'3.Табл.6 ФондВремени'!D5*'1.Исходные данные'!B15*'1.Исходные данные'!B14*(1-C5/100)</f>
        <v>3714.88</v>
      </c>
      <c r="E5" s="5" t="n">
        <f aca="false">'1.Исходные данные'!B6*'2.Табл.2 Техпроцесс'!D3+'1.Исходные данные'!B8*'2.Табл.2 Техпроцесс'!E3</f>
        <v>26990</v>
      </c>
      <c r="F5" s="5" t="n">
        <v>1</v>
      </c>
      <c r="G5" s="5" t="n">
        <f aca="false">E5/(D5*F5)</f>
        <v>7.26537600137824</v>
      </c>
      <c r="H5" s="5" t="n">
        <f aca="false">ROUND(G5,0)</f>
        <v>7</v>
      </c>
    </row>
    <row r="6" customFormat="false" ht="15" hidden="false" customHeight="false" outlineLevel="0" collapsed="false">
      <c r="A6" s="5" t="n">
        <v>3</v>
      </c>
      <c r="B6" s="5" t="s">
        <v>37</v>
      </c>
      <c r="C6" s="5" t="n">
        <v>0</v>
      </c>
      <c r="D6" s="5" t="n">
        <f aca="false">'3.Табл.6 ФондВремени'!D5*'1.Исходные данные'!B15*'1.Исходные данные'!B14*(1-C6/100)</f>
        <v>3952</v>
      </c>
      <c r="E6" s="5" t="n">
        <f aca="false">'1.Исходные данные'!B6*'2.Табл.2 Техпроцесс'!D4+'1.Исходные данные'!B8*'2.Табл.2 Техпроцесс'!E4</f>
        <v>47750</v>
      </c>
      <c r="F6" s="5" t="n">
        <v>1</v>
      </c>
      <c r="G6" s="5" t="n">
        <f aca="false">E6/(D6*F6)</f>
        <v>12.0824898785425</v>
      </c>
      <c r="H6" s="5" t="n">
        <f aca="false">ROUND(G6,0)</f>
        <v>12</v>
      </c>
    </row>
    <row r="7" customFormat="false" ht="15" hidden="false" customHeight="false" outlineLevel="0" collapsed="false">
      <c r="A7" s="5" t="n">
        <v>4</v>
      </c>
      <c r="B7" s="5" t="s">
        <v>72</v>
      </c>
      <c r="C7" s="5" t="n">
        <v>0</v>
      </c>
      <c r="D7" s="5" t="n">
        <f aca="false">'3.Табл.6 ФондВремени'!D5*'1.Исходные данные'!B15*'1.Исходные данные'!B14*(1-C7/100)</f>
        <v>3952</v>
      </c>
      <c r="E7" s="5" t="n">
        <f aca="false">'1.Исходные данные'!B6*'2.Табл.2 Техпроцесс'!D5+'1.Исходные данные'!B8*'2.Табл.2 Техпроцесс'!E5</f>
        <v>78510</v>
      </c>
      <c r="F7" s="5" t="n">
        <v>1</v>
      </c>
      <c r="G7" s="5" t="n">
        <f aca="false">E7/(D7*F7)</f>
        <v>19.8658906882591</v>
      </c>
      <c r="H7" s="5" t="n">
        <f aca="false">ROUND(G7,0)</f>
        <v>20</v>
      </c>
    </row>
    <row r="8" customFormat="false" ht="25.35" hidden="false" customHeight="false" outlineLevel="0" collapsed="false">
      <c r="A8" s="5" t="n">
        <v>5</v>
      </c>
      <c r="B8" s="5" t="s">
        <v>73</v>
      </c>
      <c r="C8" s="5" t="n">
        <v>0</v>
      </c>
      <c r="D8" s="5" t="n">
        <f aca="false">'3.Табл.6 ФондВремени'!D14</f>
        <v>1784</v>
      </c>
      <c r="E8" s="5" t="n">
        <f aca="false">'1.Исходные данные'!B6*'2.Табл.2 Техпроцесс'!D6*'2.Табл.2 Техпроцесс'!G6+'1.Исходные данные'!B8*'2.Табл.2 Техпроцесс'!E6*'2.Табл.2 Техпроцесс'!G6</f>
        <v>2805</v>
      </c>
      <c r="F8" s="5" t="s">
        <v>74</v>
      </c>
      <c r="G8" s="5" t="n">
        <f aca="false">E8/D8</f>
        <v>1.57230941704036</v>
      </c>
      <c r="H8" s="5" t="n">
        <f aca="false">MAX(3,ROUND(G8,0))</f>
        <v>3</v>
      </c>
    </row>
    <row r="10" customFormat="false" ht="15" hidden="false" customHeight="false" outlineLevel="0" collapsed="false">
      <c r="A10" s="7" t="s">
        <v>75</v>
      </c>
    </row>
    <row r="11" customFormat="false" ht="15" hidden="false" customHeight="false" outlineLevel="0" collapsed="false">
      <c r="A11" s="0" t="s">
        <v>76</v>
      </c>
      <c r="B11" s="5" t="n">
        <f aca="false">20*'4.Табл5_ОборудПлощади'!H4+10*('4.Табл5_ОборудПлощади'!H5+'4.Табл5_ОборудПлощади'!H6+'4.Табл5_ОборудПлощади'!H7+'4.Табл5_ОборудПлощади'!H8)</f>
        <v>540</v>
      </c>
    </row>
    <row r="12" customFormat="false" ht="15" hidden="false" customHeight="false" outlineLevel="0" collapsed="false">
      <c r="A12" s="0" t="s">
        <v>77</v>
      </c>
      <c r="B12" s="5" t="n">
        <f aca="false">7*'5.Численность персонала'!F20+5*'5.Численность персонала'!B24+8*'5.Численность персонала'!B23+20*'5.Численность персонала'!B25</f>
        <v>315</v>
      </c>
    </row>
    <row r="13" customFormat="false" ht="15" hidden="false" customHeight="false" outlineLevel="0" collapsed="false">
      <c r="A13" s="0" t="s">
        <v>78</v>
      </c>
      <c r="B13" s="5" t="n">
        <f aca="false">'5.Численность персонала'!B26/2*4</f>
        <v>286</v>
      </c>
    </row>
    <row r="14" customFormat="false" ht="15" hidden="false" customHeight="false" outlineLevel="0" collapsed="false">
      <c r="A14" s="7" t="s">
        <v>79</v>
      </c>
      <c r="B14" s="5" t="n">
        <f aca="false">'4.Табл5_ОборудПлощади'!B11+'4.Табл5_ОборудПлощади'!B12+'4.Табл5_ОборудПлощади'!B13</f>
        <v>1141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6" t="s">
        <v>80</v>
      </c>
      <c r="B1" s="6"/>
      <c r="C1" s="6"/>
      <c r="D1" s="6"/>
      <c r="E1" s="6"/>
      <c r="F1" s="6"/>
    </row>
    <row r="3" customFormat="false" ht="49.25" hidden="false" customHeight="false" outlineLevel="0" collapsed="false">
      <c r="A3" s="2" t="s">
        <v>65</v>
      </c>
      <c r="B3" s="2" t="s">
        <v>66</v>
      </c>
      <c r="C3" s="2" t="s">
        <v>69</v>
      </c>
      <c r="D3" s="2" t="s">
        <v>31</v>
      </c>
      <c r="E3" s="2" t="s">
        <v>81</v>
      </c>
      <c r="F3" s="2" t="s">
        <v>82</v>
      </c>
    </row>
    <row r="4" customFormat="false" ht="15" hidden="false" customHeight="false" outlineLevel="0" collapsed="false">
      <c r="A4" s="5" t="n">
        <v>1</v>
      </c>
      <c r="B4" s="5" t="s">
        <v>34</v>
      </c>
      <c r="C4" s="5" t="n">
        <f aca="false">'4.Табл5_ОборудПлощади'!E4</f>
        <v>21250</v>
      </c>
      <c r="D4" s="5" t="n">
        <v>1.03</v>
      </c>
      <c r="E4" s="5" t="n">
        <f aca="false">C4/('3.Табл.6 ФондВремени'!D14*D4)</f>
        <v>11.5644999782315</v>
      </c>
      <c r="F4" s="5" t="n">
        <f aca="false">ROUND(E4,0)</f>
        <v>12</v>
      </c>
    </row>
    <row r="5" customFormat="false" ht="15" hidden="false" customHeight="false" outlineLevel="0" collapsed="false">
      <c r="A5" s="5" t="n">
        <v>2</v>
      </c>
      <c r="B5" s="5" t="s">
        <v>36</v>
      </c>
      <c r="C5" s="5" t="n">
        <f aca="false">'4.Табл5_ОборудПлощади'!E5</f>
        <v>26990</v>
      </c>
      <c r="D5" s="5" t="n">
        <v>1</v>
      </c>
      <c r="E5" s="5" t="n">
        <f aca="false">C5/('3.Табл.6 ФондВремени'!D14*D5)</f>
        <v>15.1289237668161</v>
      </c>
      <c r="F5" s="5" t="n">
        <f aca="false">ROUND(E5,0)</f>
        <v>15</v>
      </c>
    </row>
    <row r="6" customFormat="false" ht="15" hidden="false" customHeight="false" outlineLevel="0" collapsed="false">
      <c r="A6" s="5" t="n">
        <v>3</v>
      </c>
      <c r="B6" s="5" t="s">
        <v>37</v>
      </c>
      <c r="C6" s="5" t="n">
        <f aca="false">'4.Табл5_ОборудПлощади'!E6</f>
        <v>47750</v>
      </c>
      <c r="D6" s="5" t="n">
        <v>1</v>
      </c>
      <c r="E6" s="5" t="n">
        <f aca="false">C6/('3.Табл.6 ФондВремени'!D14*D6)</f>
        <v>26.7656950672646</v>
      </c>
      <c r="F6" s="5" t="n">
        <f aca="false">ROUND(E6,0)</f>
        <v>27</v>
      </c>
    </row>
    <row r="7" customFormat="false" ht="15" hidden="false" customHeight="false" outlineLevel="0" collapsed="false">
      <c r="A7" s="5" t="n">
        <v>4</v>
      </c>
      <c r="B7" s="5" t="s">
        <v>72</v>
      </c>
      <c r="C7" s="5" t="n">
        <f aca="false">'4.Табл5_ОборудПлощади'!E7</f>
        <v>78510</v>
      </c>
      <c r="D7" s="5" t="n">
        <v>1</v>
      </c>
      <c r="E7" s="5" t="n">
        <f aca="false">C7/('3.Табл.6 ФондВремени'!D14*D7)</f>
        <v>44.0078475336323</v>
      </c>
      <c r="F7" s="5" t="n">
        <f aca="false">ROUND(E7,0)</f>
        <v>44</v>
      </c>
    </row>
    <row r="8" customFormat="false" ht="15" hidden="false" customHeight="false" outlineLevel="0" collapsed="false">
      <c r="A8" s="5" t="n">
        <v>5</v>
      </c>
      <c r="B8" s="5" t="s">
        <v>83</v>
      </c>
      <c r="C8" s="5"/>
      <c r="D8" s="5"/>
      <c r="E8" s="5"/>
      <c r="F8" s="5" t="n">
        <f aca="false">'4.Табл5_ОборудПлощади'!H8</f>
        <v>3</v>
      </c>
    </row>
    <row r="9" customFormat="false" ht="15" hidden="false" customHeight="false" outlineLevel="0" collapsed="false">
      <c r="A9" s="5"/>
      <c r="B9" s="5" t="s">
        <v>84</v>
      </c>
      <c r="C9" s="5"/>
      <c r="D9" s="5"/>
      <c r="E9" s="5"/>
      <c r="F9" s="5" t="n">
        <f aca="false">SUM(F4:F8)</f>
        <v>101</v>
      </c>
    </row>
    <row r="11" customFormat="false" ht="15" hidden="false" customHeight="false" outlineLevel="0" collapsed="false">
      <c r="A11" s="7" t="s">
        <v>85</v>
      </c>
    </row>
    <row r="12" customFormat="false" ht="25.35" hidden="false" customHeight="false" outlineLevel="0" collapsed="false">
      <c r="A12" s="2" t="s">
        <v>26</v>
      </c>
      <c r="B12" s="2" t="s">
        <v>86</v>
      </c>
      <c r="C12" s="2" t="s">
        <v>87</v>
      </c>
      <c r="D12" s="2" t="s">
        <v>28</v>
      </c>
      <c r="E12" s="2" t="s">
        <v>88</v>
      </c>
      <c r="F12" s="2" t="s">
        <v>89</v>
      </c>
    </row>
    <row r="13" customFormat="false" ht="15" hidden="false" customHeight="false" outlineLevel="0" collapsed="false">
      <c r="A13" s="5" t="n">
        <v>1</v>
      </c>
      <c r="B13" s="5" t="s">
        <v>90</v>
      </c>
      <c r="C13" s="5" t="n">
        <v>0.03</v>
      </c>
      <c r="D13" s="5" t="n">
        <v>5</v>
      </c>
      <c r="E13" s="5" t="n">
        <f aca="false">C13*'5.Численность персонала'!F9</f>
        <v>3.03</v>
      </c>
      <c r="F13" s="5" t="n">
        <f aca="false">MAX(2,ROUND(E13,0))</f>
        <v>3</v>
      </c>
    </row>
    <row r="14" customFormat="false" ht="15" hidden="false" customHeight="false" outlineLevel="0" collapsed="false">
      <c r="A14" s="5" t="n">
        <v>2</v>
      </c>
      <c r="B14" s="5" t="s">
        <v>91</v>
      </c>
      <c r="C14" s="5" t="n">
        <v>0.01</v>
      </c>
      <c r="D14" s="5" t="n">
        <v>4</v>
      </c>
      <c r="E14" s="5" t="n">
        <f aca="false">C14*'5.Численность персонала'!F9</f>
        <v>1.01</v>
      </c>
      <c r="F14" s="5" t="n">
        <f aca="false">MAX(2,ROUND(E14,0))</f>
        <v>2</v>
      </c>
    </row>
    <row r="15" customFormat="false" ht="25.35" hidden="false" customHeight="false" outlineLevel="0" collapsed="false">
      <c r="A15" s="5" t="n">
        <v>3</v>
      </c>
      <c r="B15" s="5" t="s">
        <v>92</v>
      </c>
      <c r="C15" s="5" t="n">
        <v>0.015</v>
      </c>
      <c r="D15" s="5" t="n">
        <v>5</v>
      </c>
      <c r="E15" s="5" t="n">
        <f aca="false">C15*'5.Численность персонала'!F9</f>
        <v>1.515</v>
      </c>
      <c r="F15" s="5" t="n">
        <f aca="false">MAX(2,ROUND(E15,0))</f>
        <v>2</v>
      </c>
    </row>
    <row r="16" customFormat="false" ht="15" hidden="false" customHeight="false" outlineLevel="0" collapsed="false">
      <c r="A16" s="5" t="n">
        <v>4</v>
      </c>
      <c r="B16" s="5" t="s">
        <v>93</v>
      </c>
      <c r="C16" s="5" t="n">
        <v>0.02</v>
      </c>
      <c r="D16" s="5" t="n">
        <v>4</v>
      </c>
      <c r="E16" s="5" t="n">
        <f aca="false">C16*'5.Численность персонала'!F9</f>
        <v>2.02</v>
      </c>
      <c r="F16" s="5" t="n">
        <f aca="false">MAX(2,ROUND(E16,0))</f>
        <v>2</v>
      </c>
    </row>
    <row r="17" customFormat="false" ht="15" hidden="false" customHeight="false" outlineLevel="0" collapsed="false">
      <c r="A17" s="5" t="n">
        <v>5</v>
      </c>
      <c r="B17" s="5" t="s">
        <v>94</v>
      </c>
      <c r="C17" s="5" t="n">
        <v>0.02</v>
      </c>
      <c r="D17" s="5" t="n">
        <v>3</v>
      </c>
      <c r="E17" s="5" t="n">
        <f aca="false">C17*'5.Численность персонала'!F9</f>
        <v>2.02</v>
      </c>
      <c r="F17" s="5" t="n">
        <f aca="false">MAX(2,ROUND(E17,0))</f>
        <v>2</v>
      </c>
    </row>
    <row r="18" customFormat="false" ht="15" hidden="false" customHeight="false" outlineLevel="0" collapsed="false">
      <c r="A18" s="5" t="n">
        <v>6</v>
      </c>
      <c r="B18" s="5" t="s">
        <v>95</v>
      </c>
      <c r="C18" s="5" t="n">
        <v>0.014</v>
      </c>
      <c r="D18" s="5" t="n">
        <v>3</v>
      </c>
      <c r="E18" s="5" t="n">
        <f aca="false">C18*'5.Численность персонала'!F9</f>
        <v>1.414</v>
      </c>
      <c r="F18" s="5" t="n">
        <f aca="false">MAX(2,ROUND(E18,0))</f>
        <v>2</v>
      </c>
    </row>
    <row r="19" customFormat="false" ht="15" hidden="false" customHeight="false" outlineLevel="0" collapsed="false">
      <c r="A19" s="5" t="n">
        <v>7</v>
      </c>
      <c r="B19" s="5" t="s">
        <v>96</v>
      </c>
      <c r="C19" s="5" t="n">
        <v>0.012</v>
      </c>
      <c r="D19" s="5" t="n">
        <v>3</v>
      </c>
      <c r="E19" s="5" t="n">
        <f aca="false">C19*'5.Численность персонала'!F9</f>
        <v>1.212</v>
      </c>
      <c r="F19" s="5" t="n">
        <f aca="false">MAX(2,ROUND(E19,0))</f>
        <v>2</v>
      </c>
    </row>
    <row r="20" customFormat="false" ht="15" hidden="false" customHeight="false" outlineLevel="0" collapsed="false">
      <c r="A20" s="5"/>
      <c r="B20" s="5" t="s">
        <v>97</v>
      </c>
      <c r="C20" s="5"/>
      <c r="D20" s="5"/>
      <c r="E20" s="5"/>
      <c r="F20" s="5" t="n">
        <f aca="false">SUM(F13:F19)</f>
        <v>15</v>
      </c>
    </row>
    <row r="22" customFormat="false" ht="85.05" hidden="false" customHeight="false" outlineLevel="0" collapsed="false">
      <c r="A22" s="3" t="s">
        <v>98</v>
      </c>
      <c r="B22" s="3" t="n">
        <f aca="false">'5.Численность персонала'!F9+'5.Численность персонала'!F20</f>
        <v>116</v>
      </c>
    </row>
    <row r="23" customFormat="false" ht="108.95" hidden="false" customHeight="false" outlineLevel="0" collapsed="false">
      <c r="A23" s="3" t="s">
        <v>99</v>
      </c>
      <c r="B23" s="3" t="n">
        <f aca="false">MAX(10,ROUND(0.08*B22,0))</f>
        <v>10</v>
      </c>
    </row>
    <row r="24" customFormat="false" ht="156.7" hidden="false" customHeight="false" outlineLevel="0" collapsed="false">
      <c r="A24" s="3" t="s">
        <v>100</v>
      </c>
      <c r="B24" s="3" t="n">
        <f aca="false">MAX(11,ROUND(0.11*(B22+B23),0))</f>
        <v>14</v>
      </c>
    </row>
    <row r="25" customFormat="false" ht="144.75" hidden="false" customHeight="false" outlineLevel="0" collapsed="false">
      <c r="A25" s="3" t="s">
        <v>101</v>
      </c>
      <c r="B25" s="3" t="n">
        <f aca="false">MAX(2,ROUND(0.02*(B22+B23+B24),0))</f>
        <v>3</v>
      </c>
    </row>
    <row r="26" customFormat="false" ht="97" hidden="false" customHeight="false" outlineLevel="0" collapsed="false">
      <c r="A26" s="3" t="s">
        <v>102</v>
      </c>
      <c r="B26" s="3" t="n">
        <f aca="false">B22+B23+B24+B25</f>
        <v>143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7" min="2" style="0" width="8"/>
  </cols>
  <sheetData>
    <row r="1" customFormat="false" ht="15" hidden="false" customHeight="false" outlineLevel="0" collapsed="false">
      <c r="A1" s="6" t="s">
        <v>103</v>
      </c>
      <c r="B1" s="6"/>
      <c r="C1" s="6"/>
      <c r="D1" s="6"/>
      <c r="E1" s="6"/>
      <c r="F1" s="6"/>
      <c r="G1" s="6"/>
      <c r="H1" s="6"/>
      <c r="I1" s="6"/>
      <c r="J1" s="6"/>
    </row>
    <row r="3" customFormat="false" ht="15" hidden="false" customHeight="false" outlineLevel="0" collapsed="false">
      <c r="A3" s="8" t="n">
        <f aca="false">'1.Исходные данные'!B4/175</f>
        <v>154.817142857143</v>
      </c>
    </row>
    <row r="5" customFormat="false" ht="15" hidden="false" customHeight="false" outlineLevel="0" collapsed="false">
      <c r="A5" s="2" t="s">
        <v>28</v>
      </c>
      <c r="B5" s="2" t="n">
        <v>1</v>
      </c>
      <c r="C5" s="2" t="n">
        <v>2</v>
      </c>
      <c r="D5" s="2" t="n">
        <v>3</v>
      </c>
      <c r="E5" s="2" t="n">
        <v>4</v>
      </c>
      <c r="F5" s="2" t="n">
        <v>5</v>
      </c>
      <c r="G5" s="2" t="n">
        <v>6</v>
      </c>
      <c r="H5" s="2" t="n">
        <v>7</v>
      </c>
      <c r="I5" s="2" t="n">
        <v>8</v>
      </c>
    </row>
    <row r="6" customFormat="false" ht="15" hidden="false" customHeight="false" outlineLevel="0" collapsed="false">
      <c r="A6" s="5" t="s">
        <v>104</v>
      </c>
      <c r="B6" s="5" t="n">
        <v>1</v>
      </c>
      <c r="C6" s="5" t="n">
        <v>1.24</v>
      </c>
      <c r="D6" s="5" t="n">
        <v>1.45</v>
      </c>
      <c r="E6" s="5" t="n">
        <v>1.62</v>
      </c>
      <c r="F6" s="5" t="n">
        <v>1.76</v>
      </c>
      <c r="G6" s="5" t="n">
        <v>1.9</v>
      </c>
      <c r="H6" s="5" t="n">
        <v>2.15</v>
      </c>
      <c r="I6" s="5" t="n">
        <v>2.39</v>
      </c>
    </row>
    <row r="7" customFormat="false" ht="15" hidden="false" customHeight="false" outlineLevel="0" collapsed="false">
      <c r="A7" s="5" t="s">
        <v>105</v>
      </c>
      <c r="B7" s="5" t="n">
        <f aca="false">ROUND('6.Табл8-9_Тарифы'!A3*B6,2)</f>
        <v>154.82</v>
      </c>
      <c r="C7" s="5" t="n">
        <f aca="false">ROUND('6.Табл8-9_Тарифы'!A3*C6,2)</f>
        <v>191.97</v>
      </c>
      <c r="D7" s="5" t="n">
        <f aca="false">ROUND('6.Табл8-9_Тарифы'!A3*D6,2)</f>
        <v>224.48</v>
      </c>
      <c r="E7" s="5" t="n">
        <f aca="false">ROUND('6.Табл8-9_Тарифы'!A3*E6,2)</f>
        <v>250.8</v>
      </c>
      <c r="F7" s="5" t="n">
        <f aca="false">ROUND('6.Табл8-9_Тарифы'!A3*F6,2)</f>
        <v>272.48</v>
      </c>
      <c r="G7" s="5" t="n">
        <f aca="false">ROUND('6.Табл8-9_Тарифы'!A3*G6,2)</f>
        <v>294.15</v>
      </c>
      <c r="H7" s="5" t="n">
        <f aca="false">ROUND('6.Табл8-9_Тарифы'!A3*H6,2)</f>
        <v>332.86</v>
      </c>
      <c r="I7" s="5" t="n">
        <f aca="false">ROUND('6.Табл8-9_Тарифы'!A3*I6,2)</f>
        <v>370.01</v>
      </c>
    </row>
    <row r="9" customFormat="false" ht="15" hidden="false" customHeight="false" outlineLevel="0" collapsed="false">
      <c r="A9" s="6" t="s">
        <v>106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customFormat="false" ht="15" hidden="false" customHeight="false" outlineLevel="0" collapsed="false">
      <c r="A10" s="2" t="s">
        <v>107</v>
      </c>
      <c r="B10" s="2" t="n">
        <v>1</v>
      </c>
      <c r="C10" s="2" t="n">
        <v>2</v>
      </c>
      <c r="D10" s="2" t="n">
        <v>3</v>
      </c>
      <c r="E10" s="2" t="n">
        <v>4</v>
      </c>
      <c r="F10" s="2" t="n">
        <v>5</v>
      </c>
      <c r="G10" s="2" t="n">
        <v>6</v>
      </c>
      <c r="H10" s="2" t="n">
        <v>7</v>
      </c>
      <c r="I10" s="2" t="n">
        <v>8</v>
      </c>
      <c r="J10" s="2" t="n">
        <v>9</v>
      </c>
      <c r="K10" s="2" t="n">
        <v>10</v>
      </c>
      <c r="L10" s="2" t="n">
        <v>11</v>
      </c>
      <c r="M10" s="2" t="n">
        <v>12</v>
      </c>
      <c r="N10" s="2" t="n">
        <v>13</v>
      </c>
      <c r="O10" s="2" t="n">
        <v>14</v>
      </c>
      <c r="P10" s="2" t="n">
        <v>15</v>
      </c>
      <c r="Q10" s="2" t="n">
        <v>16</v>
      </c>
    </row>
    <row r="11" customFormat="false" ht="15" hidden="false" customHeight="false" outlineLevel="0" collapsed="false">
      <c r="A11" s="5" t="s">
        <v>108</v>
      </c>
      <c r="B11" s="5" t="n">
        <v>1</v>
      </c>
      <c r="C11" s="5" t="n">
        <v>1.36</v>
      </c>
      <c r="D11" s="5" t="n">
        <v>1.59</v>
      </c>
      <c r="E11" s="5" t="n">
        <v>1.73</v>
      </c>
      <c r="F11" s="5" t="n">
        <v>1.82</v>
      </c>
      <c r="G11" s="5" t="n">
        <v>2</v>
      </c>
      <c r="H11" s="5" t="n">
        <v>2.27</v>
      </c>
      <c r="I11" s="5" t="n">
        <v>2.54</v>
      </c>
      <c r="J11" s="5" t="n">
        <v>2.91</v>
      </c>
      <c r="K11" s="5" t="n">
        <v>3.27</v>
      </c>
      <c r="L11" s="5" t="n">
        <v>3.68</v>
      </c>
      <c r="M11" s="5" t="n">
        <v>4.18</v>
      </c>
      <c r="N11" s="5" t="n">
        <v>4.73</v>
      </c>
      <c r="O11" s="5" t="n">
        <v>5.32</v>
      </c>
      <c r="P11" s="5" t="n">
        <v>5.56</v>
      </c>
      <c r="Q11" s="5" t="n">
        <v>5.95</v>
      </c>
    </row>
  </sheetData>
  <mergeCells count="2">
    <mergeCell ref="A1:J1"/>
    <mergeCell ref="A9:Q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6" t="s">
        <v>109</v>
      </c>
      <c r="B1" s="6"/>
      <c r="C1" s="6"/>
      <c r="D1" s="6"/>
      <c r="E1" s="6"/>
      <c r="F1" s="6"/>
    </row>
    <row r="3" customFormat="false" ht="37.3" hidden="false" customHeight="false" outlineLevel="0" collapsed="false">
      <c r="A3" s="2" t="s">
        <v>110</v>
      </c>
      <c r="B3" s="2" t="s">
        <v>111</v>
      </c>
      <c r="C3" s="2" t="s">
        <v>112</v>
      </c>
      <c r="D3" s="2" t="s">
        <v>113</v>
      </c>
      <c r="E3" s="2" t="s">
        <v>114</v>
      </c>
    </row>
    <row r="4" customFormat="false" ht="15" hidden="false" customHeight="false" outlineLevel="0" collapsed="false">
      <c r="A4" s="3" t="s">
        <v>115</v>
      </c>
      <c r="B4" s="3" t="s">
        <v>116</v>
      </c>
      <c r="C4" s="3" t="n">
        <v>1</v>
      </c>
      <c r="D4" s="3" t="n">
        <v>16</v>
      </c>
      <c r="E4" s="3" t="n">
        <f aca="false">ROUND('1.Исходные данные'!B4*'6.Табл8-9_Тарифы'!Q11,2)</f>
        <v>161203.35</v>
      </c>
    </row>
    <row r="5" customFormat="false" ht="15" hidden="false" customHeight="false" outlineLevel="0" collapsed="false">
      <c r="A5" s="3" t="s">
        <v>115</v>
      </c>
      <c r="B5" s="3" t="s">
        <v>117</v>
      </c>
      <c r="C5" s="3" t="n">
        <v>1</v>
      </c>
      <c r="D5" s="3" t="n">
        <v>14</v>
      </c>
      <c r="E5" s="3" t="n">
        <f aca="false">ROUND('1.Исходные данные'!B4*'6.Табл8-9_Тарифы'!O11,2)</f>
        <v>144134.76</v>
      </c>
    </row>
    <row r="6" customFormat="false" ht="15" hidden="false" customHeight="false" outlineLevel="0" collapsed="false">
      <c r="A6" s="3" t="s">
        <v>115</v>
      </c>
      <c r="B6" s="3" t="s">
        <v>118</v>
      </c>
      <c r="C6" s="3" t="n">
        <v>1</v>
      </c>
      <c r="D6" s="3" t="n">
        <v>13</v>
      </c>
      <c r="E6" s="3" t="n">
        <f aca="false">ROUND('1.Исходные данные'!B4*'6.Табл8-9_Тарифы'!N11,2)</f>
        <v>128149.89</v>
      </c>
    </row>
    <row r="7" customFormat="false" ht="15" hidden="false" customHeight="false" outlineLevel="0" collapsed="false">
      <c r="A7" s="3" t="s">
        <v>119</v>
      </c>
      <c r="B7" s="3" t="s">
        <v>120</v>
      </c>
      <c r="C7" s="3" t="n">
        <v>1</v>
      </c>
      <c r="D7" s="3" t="n">
        <v>10</v>
      </c>
      <c r="E7" s="3" t="n">
        <f aca="false">ROUND('1.Исходные данные'!B4*'6.Табл8-9_Тарифы'!K11,2)</f>
        <v>88594.11</v>
      </c>
    </row>
    <row r="8" customFormat="false" ht="15" hidden="false" customHeight="false" outlineLevel="0" collapsed="false">
      <c r="A8" s="3" t="s">
        <v>119</v>
      </c>
      <c r="B8" s="3" t="s">
        <v>121</v>
      </c>
      <c r="C8" s="3" t="n">
        <v>1</v>
      </c>
      <c r="D8" s="3" t="n">
        <v>10</v>
      </c>
      <c r="E8" s="3" t="n">
        <f aca="false">ROUND('1.Исходные данные'!B4*'6.Табл8-9_Тарифы'!K11,2)</f>
        <v>88594.11</v>
      </c>
    </row>
    <row r="9" customFormat="false" ht="15" hidden="false" customHeight="false" outlineLevel="0" collapsed="false">
      <c r="A9" s="3" t="s">
        <v>119</v>
      </c>
      <c r="B9" s="3" t="s">
        <v>122</v>
      </c>
      <c r="C9" s="3" t="n">
        <v>1</v>
      </c>
      <c r="D9" s="3" t="n">
        <v>8</v>
      </c>
      <c r="E9" s="3" t="n">
        <f aca="false">ROUND('1.Исходные данные'!B4*'6.Табл8-9_Тарифы'!I11,2)</f>
        <v>68816.22</v>
      </c>
    </row>
    <row r="10" customFormat="false" ht="15" hidden="false" customHeight="false" outlineLevel="0" collapsed="false">
      <c r="A10" s="3" t="s">
        <v>119</v>
      </c>
      <c r="B10" s="3" t="s">
        <v>123</v>
      </c>
      <c r="C10" s="3" t="n">
        <v>1</v>
      </c>
      <c r="D10" s="3" t="n">
        <v>8</v>
      </c>
      <c r="E10" s="3" t="n">
        <f aca="false">ROUND('1.Исходные данные'!B4*'6.Табл8-9_Тарифы'!I11,2)</f>
        <v>68816.22</v>
      </c>
    </row>
    <row r="11" customFormat="false" ht="15" hidden="false" customHeight="false" outlineLevel="0" collapsed="false">
      <c r="A11" s="3" t="s">
        <v>119</v>
      </c>
      <c r="B11" s="3" t="s">
        <v>124</v>
      </c>
      <c r="C11" s="3" t="n">
        <v>1</v>
      </c>
      <c r="D11" s="3" t="n">
        <v>9</v>
      </c>
      <c r="E11" s="3" t="n">
        <f aca="false">ROUND('1.Исходные данные'!B4*'6.Табл8-9_Тарифы'!J11,2)</f>
        <v>78840.63</v>
      </c>
    </row>
    <row r="12" customFormat="false" ht="15" hidden="false" customHeight="false" outlineLevel="0" collapsed="false">
      <c r="A12" s="3" t="s">
        <v>119</v>
      </c>
      <c r="B12" s="3" t="s">
        <v>125</v>
      </c>
      <c r="C12" s="3" t="n">
        <v>2</v>
      </c>
      <c r="D12" s="3" t="n">
        <v>9</v>
      </c>
      <c r="E12" s="3" t="n">
        <f aca="false">ROUND('1.Исходные данные'!B4*'6.Табл8-9_Тарифы'!J11,2)</f>
        <v>78840.63</v>
      </c>
    </row>
    <row r="13" customFormat="false" ht="15" hidden="false" customHeight="false" outlineLevel="0" collapsed="false">
      <c r="A13" s="3" t="s">
        <v>119</v>
      </c>
      <c r="B13" s="3" t="s">
        <v>126</v>
      </c>
      <c r="C13" s="3" t="n">
        <v>1</v>
      </c>
      <c r="D13" s="3" t="n">
        <v>9</v>
      </c>
      <c r="E13" s="3" t="n">
        <f aca="false">ROUND('1.Исходные данные'!B4*'6.Табл8-9_Тарифы'!J11,2)</f>
        <v>78840.63</v>
      </c>
    </row>
    <row r="14" customFormat="false" ht="15" hidden="false" customHeight="false" outlineLevel="0" collapsed="false">
      <c r="A14" s="3" t="s">
        <v>119</v>
      </c>
      <c r="B14" s="3" t="s">
        <v>127</v>
      </c>
      <c r="C14" s="3" t="n">
        <v>1</v>
      </c>
      <c r="D14" s="3" t="n">
        <v>10</v>
      </c>
      <c r="E14" s="3" t="n">
        <f aca="false">ROUND('1.Исходные данные'!B4*'6.Табл8-9_Тарифы'!K11,2)</f>
        <v>88594.11</v>
      </c>
    </row>
    <row r="15" customFormat="false" ht="15" hidden="false" customHeight="false" outlineLevel="0" collapsed="false">
      <c r="A15" s="3" t="s">
        <v>119</v>
      </c>
      <c r="B15" s="3" t="s">
        <v>128</v>
      </c>
      <c r="C15" s="3" t="n">
        <v>1</v>
      </c>
      <c r="D15" s="3" t="n">
        <v>10</v>
      </c>
      <c r="E15" s="3" t="n">
        <f aca="false">ROUND('1.Исходные данные'!B4*'6.Табл8-9_Тарифы'!K11,2)</f>
        <v>88594.11</v>
      </c>
    </row>
    <row r="16" customFormat="false" ht="15" hidden="false" customHeight="false" outlineLevel="0" collapsed="false">
      <c r="A16" s="3" t="s">
        <v>129</v>
      </c>
      <c r="B16" s="3" t="s">
        <v>130</v>
      </c>
      <c r="C16" s="3" t="n">
        <v>1</v>
      </c>
      <c r="D16" s="3" t="n">
        <v>7</v>
      </c>
      <c r="E16" s="3" t="n">
        <f aca="false">ROUND('1.Исходные данные'!B4*'6.Табл8-9_Тарифы'!H11,2)</f>
        <v>61501.11</v>
      </c>
    </row>
    <row r="17" customFormat="false" ht="15" hidden="false" customHeight="false" outlineLevel="0" collapsed="false">
      <c r="A17" s="3" t="s">
        <v>129</v>
      </c>
      <c r="B17" s="3" t="s">
        <v>131</v>
      </c>
      <c r="C17" s="3" t="n">
        <v>1</v>
      </c>
      <c r="D17" s="3" t="n">
        <v>7</v>
      </c>
      <c r="E17" s="3" t="n">
        <f aca="false">ROUND('1.Исходные данные'!B4*'6.Табл8-9_Тарифы'!H11,2)</f>
        <v>61501.11</v>
      </c>
    </row>
    <row r="18" customFormat="false" ht="15" hidden="false" customHeight="false" outlineLevel="0" collapsed="false">
      <c r="A18" s="3" t="s">
        <v>129</v>
      </c>
      <c r="B18" s="3" t="s">
        <v>132</v>
      </c>
      <c r="C18" s="3" t="n">
        <v>3</v>
      </c>
      <c r="D18" s="3" t="n">
        <v>6</v>
      </c>
      <c r="E18" s="3" t="n">
        <f aca="false">ROUND('1.Исходные данные'!B4*'6.Табл8-9_Тарифы'!G11,2)</f>
        <v>54186</v>
      </c>
    </row>
    <row r="19" customFormat="false" ht="15" hidden="false" customHeight="false" outlineLevel="0" collapsed="false">
      <c r="A19" s="3" t="s">
        <v>129</v>
      </c>
      <c r="B19" s="3" t="s">
        <v>133</v>
      </c>
      <c r="C19" s="3" t="n">
        <v>1</v>
      </c>
      <c r="D19" s="3" t="n">
        <v>5</v>
      </c>
      <c r="E19" s="3" t="n">
        <f aca="false">ROUND('1.Исходные данные'!B4*'6.Табл8-9_Тарифы'!F11,2)</f>
        <v>49309.26</v>
      </c>
    </row>
    <row r="20" customFormat="false" ht="15" hidden="false" customHeight="false" outlineLevel="0" collapsed="false">
      <c r="A20" s="3" t="s">
        <v>129</v>
      </c>
      <c r="B20" s="3" t="s">
        <v>134</v>
      </c>
      <c r="C20" s="3" t="n">
        <v>4</v>
      </c>
      <c r="D20" s="3" t="n">
        <v>3</v>
      </c>
      <c r="E20" s="3" t="n">
        <f aca="false">ROUND('1.Исходные данные'!B4*'6.Табл8-9_Тарифы'!D11,2)</f>
        <v>43077.87</v>
      </c>
    </row>
    <row r="21" customFormat="false" ht="15" hidden="false" customHeight="false" outlineLevel="0" collapsed="false">
      <c r="A21" s="3" t="s">
        <v>129</v>
      </c>
      <c r="B21" s="3" t="s">
        <v>135</v>
      </c>
      <c r="C21" s="3" t="n">
        <v>4</v>
      </c>
      <c r="D21" s="3" t="n">
        <v>2</v>
      </c>
      <c r="E21" s="3" t="n">
        <f aca="false">ROUND('1.Исходные данные'!B4*'6.Табл8-9_Тарифы'!C11,2)</f>
        <v>36846.48</v>
      </c>
    </row>
    <row r="23" customFormat="false" ht="25.35" hidden="false" customHeight="false" outlineLevel="0" collapsed="false">
      <c r="A23" s="3" t="s">
        <v>136</v>
      </c>
      <c r="B23" s="3"/>
      <c r="C23" s="3" t="n">
        <f aca="false">SUMIF(A4:A21,"Руководители",C4:C21)</f>
        <v>3</v>
      </c>
    </row>
    <row r="24" customFormat="false" ht="25.35" hidden="false" customHeight="false" outlineLevel="0" collapsed="false">
      <c r="A24" s="3" t="s">
        <v>137</v>
      </c>
      <c r="B24" s="3"/>
      <c r="C24" s="3" t="n">
        <f aca="false">SUMIF(A4:A21,"Специалисты",C4:C21)</f>
        <v>10</v>
      </c>
    </row>
    <row r="25" customFormat="false" ht="25.35" hidden="false" customHeight="false" outlineLevel="0" collapsed="false">
      <c r="A25" s="3" t="s">
        <v>138</v>
      </c>
      <c r="B25" s="3"/>
      <c r="C25" s="3" t="n">
        <f aca="false">SUMIF(A4:A21,"Другие служащие",C4:C21)</f>
        <v>14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8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6" t="s">
        <v>139</v>
      </c>
      <c r="B1" s="6"/>
      <c r="C1" s="6"/>
      <c r="D1" s="6"/>
    </row>
    <row r="3" customFormat="false" ht="61.15" hidden="false" customHeight="false" outlineLevel="0" collapsed="false">
      <c r="A3" s="2" t="s">
        <v>140</v>
      </c>
      <c r="B3" s="2" t="s">
        <v>141</v>
      </c>
      <c r="C3" s="2" t="s">
        <v>142</v>
      </c>
    </row>
    <row r="4" customFormat="false" ht="25.35" hidden="false" customHeight="false" outlineLevel="0" collapsed="false">
      <c r="A4" s="3" t="s">
        <v>143</v>
      </c>
      <c r="B4" s="3"/>
      <c r="C4" s="9" t="n">
        <f aca="false">4*'1.Исходные данные'!B4</f>
        <v>108372</v>
      </c>
    </row>
    <row r="5" customFormat="false" ht="15" hidden="false" customHeight="false" outlineLevel="0" collapsed="false">
      <c r="A5" s="3" t="s">
        <v>144</v>
      </c>
      <c r="B5" s="3"/>
      <c r="C5" s="9" t="n">
        <f aca="false">5*'1.Исходные данные'!B4</f>
        <v>135465</v>
      </c>
    </row>
    <row r="6" customFormat="false" ht="25.35" hidden="false" customHeight="false" outlineLevel="0" collapsed="false">
      <c r="A6" s="3" t="s">
        <v>145</v>
      </c>
      <c r="B6" s="3"/>
      <c r="C6" s="9" t="n">
        <f aca="false">5*'1.Исходные данные'!B4</f>
        <v>135465</v>
      </c>
    </row>
    <row r="7" customFormat="false" ht="25.35" hidden="false" customHeight="false" outlineLevel="0" collapsed="false">
      <c r="A7" s="3" t="s">
        <v>146</v>
      </c>
      <c r="B7" s="3"/>
      <c r="C7" s="9" t="n">
        <f aca="false">1800*'4.Табл5_ОборудПлощади'!H4*'1.Исходные данные'!B4</f>
        <v>292604400</v>
      </c>
    </row>
    <row r="8" customFormat="false" ht="25.35" hidden="false" customHeight="false" outlineLevel="0" collapsed="false">
      <c r="A8" s="3" t="s">
        <v>147</v>
      </c>
      <c r="B8" s="3"/>
      <c r="C8" s="9" t="n">
        <f aca="false">500*'4.Табл5_ОборудПлощади'!H5*'1.Исходные данные'!B4</f>
        <v>94825500</v>
      </c>
    </row>
    <row r="9" customFormat="false" ht="15" hidden="false" customHeight="false" outlineLevel="0" collapsed="false">
      <c r="A9" s="3" t="s">
        <v>148</v>
      </c>
      <c r="B9" s="3"/>
      <c r="C9" s="9" t="n">
        <f aca="false">500*'4.Табл5_ОборудПлощади'!H6*'1.Исходные данные'!B4</f>
        <v>162558000</v>
      </c>
    </row>
    <row r="10" customFormat="false" ht="15" hidden="false" customHeight="false" outlineLevel="0" collapsed="false">
      <c r="A10" s="3" t="s">
        <v>149</v>
      </c>
      <c r="B10" s="3"/>
      <c r="C10" s="9" t="n">
        <f aca="false">500*'4.Табл5_ОборудПлощади'!H7*'1.Исходные данные'!B4</f>
        <v>270930000</v>
      </c>
    </row>
    <row r="11" customFormat="false" ht="15" hidden="false" customHeight="false" outlineLevel="0" collapsed="false">
      <c r="A11" s="3" t="s">
        <v>150</v>
      </c>
      <c r="B11" s="3"/>
      <c r="C11" s="9" t="n">
        <f aca="false">500*'4.Табл5_ОборудПлощади'!H8*'1.Исходные данные'!B4</f>
        <v>40639500</v>
      </c>
    </row>
    <row r="12" customFormat="false" ht="25.35" hidden="false" customHeight="false" outlineLevel="0" collapsed="false">
      <c r="A12" s="3" t="s">
        <v>151</v>
      </c>
      <c r="B12" s="3"/>
      <c r="C12" s="9" t="n">
        <f aca="false">750*'1.Исходные данные'!B4</f>
        <v>20319750</v>
      </c>
    </row>
    <row r="13" customFormat="false" ht="15" hidden="false" customHeight="false" outlineLevel="0" collapsed="false">
      <c r="A13" s="3" t="s">
        <v>152</v>
      </c>
      <c r="B13" s="3"/>
      <c r="C13" s="9" t="n">
        <f aca="false">1300*'1.Исходные данные'!B4</f>
        <v>35220900</v>
      </c>
    </row>
    <row r="14" customFormat="false" ht="15" hidden="false" customHeight="false" outlineLevel="0" collapsed="false">
      <c r="A14" s="3" t="s">
        <v>153</v>
      </c>
      <c r="B14" s="3"/>
      <c r="C14" s="9" t="n">
        <f aca="false">350*'1.Исходные данные'!B4</f>
        <v>9482550</v>
      </c>
    </row>
    <row r="15" customFormat="false" ht="15" hidden="false" customHeight="false" outlineLevel="0" collapsed="false">
      <c r="A15" s="3" t="s">
        <v>154</v>
      </c>
      <c r="B15" s="3"/>
      <c r="C15" s="9" t="n">
        <f aca="false">15*'4.Табл5_ОборудПлощади'!B14*'1.Исходные данные'!B4</f>
        <v>463696695</v>
      </c>
    </row>
    <row r="16" customFormat="false" ht="15" hidden="false" customHeight="false" outlineLevel="0" collapsed="false">
      <c r="A16" s="3"/>
      <c r="B16" s="3"/>
      <c r="C16" s="9"/>
    </row>
    <row r="17" customFormat="false" ht="15" hidden="false" customHeight="false" outlineLevel="0" collapsed="false">
      <c r="A17" s="3" t="s">
        <v>155</v>
      </c>
      <c r="B17" s="3"/>
      <c r="C17" s="9" t="n">
        <f aca="false">SUM(C4:C15)</f>
        <v>1390656597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1" min="10" style="0" width="13"/>
    <col collapsed="false" customWidth="true" hidden="false" outlineLevel="0" max="12" min="12" style="0" width="14"/>
  </cols>
  <sheetData>
    <row r="1" customFormat="false" ht="15" hidden="false" customHeight="false" outlineLevel="0" collapsed="false">
      <c r="A1" s="6" t="s">
        <v>156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customFormat="false" ht="25.35" hidden="false" customHeight="false" outlineLevel="0" collapsed="false">
      <c r="A3" s="2" t="s">
        <v>157</v>
      </c>
      <c r="B3" s="2" t="s">
        <v>28</v>
      </c>
      <c r="C3" s="2" t="s">
        <v>105</v>
      </c>
      <c r="D3" s="2" t="s">
        <v>158</v>
      </c>
      <c r="E3" s="2" t="s">
        <v>159</v>
      </c>
      <c r="F3" s="2" t="s">
        <v>160</v>
      </c>
      <c r="G3" s="2" t="s">
        <v>161</v>
      </c>
      <c r="H3" s="2" t="s">
        <v>162</v>
      </c>
      <c r="I3" s="2" t="s">
        <v>163</v>
      </c>
      <c r="J3" s="2" t="s">
        <v>164</v>
      </c>
      <c r="K3" s="2" t="s">
        <v>165</v>
      </c>
      <c r="L3" s="2" t="s">
        <v>166</v>
      </c>
    </row>
    <row r="4" customFormat="false" ht="15" hidden="false" customHeight="false" outlineLevel="0" collapsed="false">
      <c r="A4" s="5" t="n">
        <v>1</v>
      </c>
      <c r="B4" s="5" t="n">
        <v>4</v>
      </c>
      <c r="C4" s="5" t="n">
        <f aca="false">'6.Табл8-9_Тарифы'!E7</f>
        <v>250.8</v>
      </c>
      <c r="D4" s="5" t="n">
        <f aca="false">'2.Табл.2 Техпроцесс'!D2</f>
        <v>1.8</v>
      </c>
      <c r="E4" s="10" t="n">
        <f aca="false">'1.Исходные данные'!B6*D4*C4*'1.Исходные данные'!B13</f>
        <v>4232250</v>
      </c>
      <c r="F4" s="5" t="n">
        <f aca="false">'2.Табл.2 Техпроцесс'!E2</f>
        <v>2.5</v>
      </c>
      <c r="G4" s="10" t="n">
        <f aca="false">'1.Исходные данные'!B8*F4*C4*'1.Исходные данные'!B13</f>
        <v>2429625</v>
      </c>
      <c r="H4" s="10" t="n">
        <f aca="false">E4+G4</f>
        <v>6661875</v>
      </c>
      <c r="I4" s="10" t="n">
        <f aca="false">0.35*H4</f>
        <v>2331656.25</v>
      </c>
      <c r="J4" s="10" t="n">
        <f aca="false">H4+I4</f>
        <v>8993531.25</v>
      </c>
      <c r="K4" s="10" t="n">
        <f aca="false">'1.Исходные данные'!B5*J4</f>
        <v>1349029.6875</v>
      </c>
      <c r="L4" s="10" t="n">
        <f aca="false">J4+K4</f>
        <v>10342560.9375</v>
      </c>
    </row>
    <row r="5" customFormat="false" ht="15" hidden="false" customHeight="false" outlineLevel="0" collapsed="false">
      <c r="A5" s="5" t="n">
        <v>2</v>
      </c>
      <c r="B5" s="5" t="n">
        <v>4</v>
      </c>
      <c r="C5" s="5" t="n">
        <f aca="false">'6.Табл8-9_Тарифы'!E7</f>
        <v>250.8</v>
      </c>
      <c r="D5" s="5" t="n">
        <f aca="false">'2.Табл.2 Техпроцесс'!D3</f>
        <v>2.4</v>
      </c>
      <c r="E5" s="10" t="n">
        <f aca="false">'1.Исходные данные'!B6*D5*C5*'1.Исходные данные'!B13</f>
        <v>5643000</v>
      </c>
      <c r="F5" s="5" t="n">
        <f aca="false">'2.Табл.2 Техпроцесс'!E3</f>
        <v>2.9</v>
      </c>
      <c r="G5" s="10" t="n">
        <f aca="false">'1.Исходные данные'!B8*F5*C5*'1.Исходные данные'!B13</f>
        <v>2818365</v>
      </c>
      <c r="H5" s="10" t="n">
        <f aca="false">E5+G5</f>
        <v>8461365</v>
      </c>
      <c r="I5" s="10" t="n">
        <f aca="false">0.35*H5</f>
        <v>2961477.75</v>
      </c>
      <c r="J5" s="10" t="n">
        <f aca="false">H5+I5</f>
        <v>11422842.75</v>
      </c>
      <c r="K5" s="10" t="n">
        <f aca="false">'1.Исходные данные'!B5*J5</f>
        <v>1713426.4125</v>
      </c>
      <c r="L5" s="10" t="n">
        <f aca="false">J5+K5</f>
        <v>13136269.1625</v>
      </c>
    </row>
    <row r="6" customFormat="false" ht="15" hidden="false" customHeight="false" outlineLevel="0" collapsed="false">
      <c r="A6" s="5" t="n">
        <v>3</v>
      </c>
      <c r="B6" s="5" t="n">
        <v>3</v>
      </c>
      <c r="C6" s="5" t="n">
        <f aca="false">'6.Табл8-9_Тарифы'!D7</f>
        <v>224.48</v>
      </c>
      <c r="D6" s="5" t="n">
        <f aca="false">'2.Табл.2 Техпроцесс'!D4</f>
        <v>4.3</v>
      </c>
      <c r="E6" s="10" t="n">
        <f aca="false">'1.Исходные данные'!B6*D6*C6*'1.Исходные данные'!B13</f>
        <v>9049350</v>
      </c>
      <c r="F6" s="5" t="n">
        <f aca="false">'2.Табл.2 Техпроцесс'!E4</f>
        <v>5</v>
      </c>
      <c r="G6" s="10" t="n">
        <f aca="false">'1.Исходные данные'!B8*F6*C6*'1.Исходные данные'!B13</f>
        <v>4349300</v>
      </c>
      <c r="H6" s="10" t="n">
        <f aca="false">E6+G6</f>
        <v>13398650</v>
      </c>
      <c r="I6" s="10" t="n">
        <f aca="false">0.35*H6</f>
        <v>4689527.5</v>
      </c>
      <c r="J6" s="10" t="n">
        <f aca="false">H6+I6</f>
        <v>18088177.5</v>
      </c>
      <c r="K6" s="10" t="n">
        <f aca="false">'1.Исходные данные'!B5*J6</f>
        <v>2713226.625</v>
      </c>
      <c r="L6" s="10" t="n">
        <f aca="false">J6+K6</f>
        <v>20801404.125</v>
      </c>
    </row>
    <row r="7" customFormat="false" ht="15" hidden="false" customHeight="false" outlineLevel="0" collapsed="false">
      <c r="A7" s="5" t="n">
        <v>4</v>
      </c>
      <c r="B7" s="5" t="n">
        <v>5</v>
      </c>
      <c r="C7" s="5" t="n">
        <f aca="false">'6.Табл8-9_Тарифы'!F7</f>
        <v>272.48</v>
      </c>
      <c r="D7" s="5" t="n">
        <f aca="false">'2.Табл.2 Техпроцесс'!D5</f>
        <v>6.5</v>
      </c>
      <c r="E7" s="10" t="n">
        <f aca="false">'1.Исходные данные'!B6*D7*C7*'1.Исходные данные'!B13</f>
        <v>16604250</v>
      </c>
      <c r="F7" s="5" t="n">
        <f aca="false">'2.Табл.2 Техпроцесс'!E5</f>
        <v>9.6</v>
      </c>
      <c r="G7" s="10" t="n">
        <f aca="false">'1.Исходные данные'!B8*F7*C7*'1.Исходные данные'!B13</f>
        <v>10136256</v>
      </c>
      <c r="H7" s="10" t="n">
        <f aca="false">E7+G7</f>
        <v>26740506</v>
      </c>
      <c r="I7" s="10" t="n">
        <f aca="false">0.35*H7</f>
        <v>9359177.1</v>
      </c>
      <c r="J7" s="10" t="n">
        <f aca="false">H7+I7</f>
        <v>36099683.1</v>
      </c>
      <c r="K7" s="10" t="n">
        <f aca="false">'1.Исходные данные'!B5*J7</f>
        <v>5414952.465</v>
      </c>
      <c r="L7" s="10" t="n">
        <f aca="false">J7+K7</f>
        <v>41514635.565</v>
      </c>
    </row>
    <row r="8" customFormat="false" ht="15" hidden="false" customHeight="false" outlineLevel="0" collapsed="false">
      <c r="A8" s="5" t="n">
        <v>5</v>
      </c>
      <c r="B8" s="5" t="n">
        <v>3</v>
      </c>
      <c r="C8" s="5" t="n">
        <f aca="false">'6.Табл8-9_Тарифы'!D7</f>
        <v>224.48</v>
      </c>
      <c r="D8" s="5" t="n">
        <f aca="false">'2.Табл.2 Техпроцесс'!D6</f>
        <v>0.5</v>
      </c>
      <c r="E8" s="10" t="n">
        <f aca="false">'1.Исходные данные'!B6*D8*C8*'1.Исходные данные'!B13</f>
        <v>1052250</v>
      </c>
      <c r="F8" s="5" t="n">
        <f aca="false">'2.Табл.2 Техпроцесс'!E6</f>
        <v>0.6</v>
      </c>
      <c r="G8" s="10" t="n">
        <f aca="false">'1.Исходные данные'!B8*F8*C8*'1.Исходные данные'!B13</f>
        <v>521916</v>
      </c>
      <c r="H8" s="10" t="n">
        <f aca="false">E8+G8</f>
        <v>1574166</v>
      </c>
      <c r="I8" s="10" t="n">
        <f aca="false">0.35*H8</f>
        <v>550958.1</v>
      </c>
      <c r="J8" s="10" t="n">
        <f aca="false">H8+I8</f>
        <v>2125124.1</v>
      </c>
      <c r="K8" s="10" t="n">
        <f aca="false">'1.Исходные данные'!B5*J8</f>
        <v>318768.615</v>
      </c>
      <c r="L8" s="10" t="n">
        <f aca="false">J8+K8</f>
        <v>2443892.715</v>
      </c>
    </row>
    <row r="9" customFormat="false" ht="25.35" hidden="false" customHeight="false" outlineLevel="0" collapsed="false">
      <c r="A9" s="5"/>
      <c r="B9" s="5"/>
      <c r="C9" s="5"/>
      <c r="D9" s="5"/>
      <c r="E9" s="10"/>
      <c r="F9" s="5"/>
      <c r="G9" s="10"/>
      <c r="H9" s="10" t="s">
        <v>167</v>
      </c>
      <c r="I9" s="10"/>
      <c r="J9" s="10"/>
      <c r="K9" s="10"/>
      <c r="L9" s="10" t="n">
        <f aca="false">SUM(L4:L8)</f>
        <v>88238762.505</v>
      </c>
    </row>
    <row r="11" customFormat="false" ht="15" hidden="false" customHeight="false" outlineLevel="0" collapsed="false">
      <c r="A11" s="7" t="s">
        <v>168</v>
      </c>
    </row>
    <row r="12" customFormat="false" ht="25.35" hidden="false" customHeight="false" outlineLevel="0" collapsed="false">
      <c r="A12" s="2" t="s">
        <v>157</v>
      </c>
      <c r="B12" s="2" t="s">
        <v>159</v>
      </c>
      <c r="C12" s="2" t="s">
        <v>169</v>
      </c>
      <c r="D12" s="2" t="s">
        <v>170</v>
      </c>
      <c r="E12" s="2" t="s">
        <v>171</v>
      </c>
      <c r="F12" s="2" t="s">
        <v>161</v>
      </c>
      <c r="G12" s="2" t="s">
        <v>172</v>
      </c>
      <c r="H12" s="2" t="s">
        <v>173</v>
      </c>
      <c r="I12" s="2" t="s">
        <v>174</v>
      </c>
    </row>
    <row r="13" customFormat="false" ht="15" hidden="false" customHeight="false" outlineLevel="0" collapsed="false">
      <c r="A13" s="5" t="n">
        <v>1</v>
      </c>
      <c r="B13" s="10" t="n">
        <f aca="false">E4</f>
        <v>4232250</v>
      </c>
      <c r="C13" s="10" t="n">
        <f aca="false">0.35*B13</f>
        <v>1481287.5</v>
      </c>
      <c r="D13" s="10" t="n">
        <f aca="false">B13+C13</f>
        <v>5713537.5</v>
      </c>
      <c r="E13" s="10" t="n">
        <f aca="false">'1.Исходные данные'!B5*D13</f>
        <v>857030.625</v>
      </c>
      <c r="F13" s="10" t="n">
        <f aca="false">G4</f>
        <v>2429625</v>
      </c>
      <c r="G13" s="10" t="n">
        <f aca="false">0.35*F13</f>
        <v>850368.75</v>
      </c>
      <c r="H13" s="10" t="n">
        <f aca="false">F13+G13</f>
        <v>3279993.75</v>
      </c>
      <c r="I13" s="10" t="n">
        <f aca="false">'1.Исходные данные'!B5*H13</f>
        <v>491999.0625</v>
      </c>
    </row>
    <row r="14" customFormat="false" ht="15" hidden="false" customHeight="false" outlineLevel="0" collapsed="false">
      <c r="A14" s="5" t="n">
        <v>2</v>
      </c>
      <c r="B14" s="10" t="n">
        <f aca="false">E5</f>
        <v>5643000</v>
      </c>
      <c r="C14" s="10" t="n">
        <f aca="false">0.35*B14</f>
        <v>1975050</v>
      </c>
      <c r="D14" s="10" t="n">
        <f aca="false">B14+C14</f>
        <v>7618050</v>
      </c>
      <c r="E14" s="10" t="n">
        <f aca="false">'1.Исходные данные'!B5*D14</f>
        <v>1142707.5</v>
      </c>
      <c r="F14" s="10" t="n">
        <f aca="false">G5</f>
        <v>2818365</v>
      </c>
      <c r="G14" s="10" t="n">
        <f aca="false">0.35*F14</f>
        <v>986427.75</v>
      </c>
      <c r="H14" s="10" t="n">
        <f aca="false">F14+G14</f>
        <v>3804792.75</v>
      </c>
      <c r="I14" s="10" t="n">
        <f aca="false">'1.Исходные данные'!B5*H14</f>
        <v>570718.9125</v>
      </c>
    </row>
    <row r="15" customFormat="false" ht="15" hidden="false" customHeight="false" outlineLevel="0" collapsed="false">
      <c r="A15" s="5" t="n">
        <v>3</v>
      </c>
      <c r="B15" s="10" t="n">
        <f aca="false">E6</f>
        <v>9049350</v>
      </c>
      <c r="C15" s="10" t="n">
        <f aca="false">0.35*B15</f>
        <v>3167272.5</v>
      </c>
      <c r="D15" s="10" t="n">
        <f aca="false">B15+C15</f>
        <v>12216622.5</v>
      </c>
      <c r="E15" s="10" t="n">
        <f aca="false">'1.Исходные данные'!B5*D15</f>
        <v>1832493.375</v>
      </c>
      <c r="F15" s="10" t="n">
        <f aca="false">G6</f>
        <v>4349300</v>
      </c>
      <c r="G15" s="10" t="n">
        <f aca="false">0.35*F15</f>
        <v>1522255</v>
      </c>
      <c r="H15" s="10" t="n">
        <f aca="false">F15+G15</f>
        <v>5871555</v>
      </c>
      <c r="I15" s="10" t="n">
        <f aca="false">'1.Исходные данные'!B5*H15</f>
        <v>880733.25</v>
      </c>
    </row>
    <row r="16" customFormat="false" ht="15" hidden="false" customHeight="false" outlineLevel="0" collapsed="false">
      <c r="A16" s="5" t="n">
        <v>4</v>
      </c>
      <c r="B16" s="10" t="n">
        <f aca="false">E7</f>
        <v>16604250</v>
      </c>
      <c r="C16" s="10" t="n">
        <f aca="false">0.35*B16</f>
        <v>5811487.5</v>
      </c>
      <c r="D16" s="10" t="n">
        <f aca="false">B16+C16</f>
        <v>22415737.5</v>
      </c>
      <c r="E16" s="10" t="n">
        <f aca="false">'1.Исходные данные'!B5*D16</f>
        <v>3362360.625</v>
      </c>
      <c r="F16" s="10" t="n">
        <f aca="false">G7</f>
        <v>10136256</v>
      </c>
      <c r="G16" s="10" t="n">
        <f aca="false">0.35*F16</f>
        <v>3547689.6</v>
      </c>
      <c r="H16" s="10" t="n">
        <f aca="false">F16+G16</f>
        <v>13683945.6</v>
      </c>
      <c r="I16" s="10" t="n">
        <f aca="false">'1.Исходные данные'!B5*H16</f>
        <v>2052591.84</v>
      </c>
    </row>
    <row r="17" customFormat="false" ht="15" hidden="false" customHeight="false" outlineLevel="0" collapsed="false">
      <c r="A17" s="5" t="n">
        <v>5</v>
      </c>
      <c r="B17" s="10" t="n">
        <f aca="false">E8</f>
        <v>1052250</v>
      </c>
      <c r="C17" s="10" t="n">
        <f aca="false">0.35*B17</f>
        <v>368287.5</v>
      </c>
      <c r="D17" s="10" t="n">
        <f aca="false">B17+C17</f>
        <v>1420537.5</v>
      </c>
      <c r="E17" s="10" t="n">
        <f aca="false">'1.Исходные данные'!B5*D17</f>
        <v>213080.625</v>
      </c>
      <c r="F17" s="10" t="n">
        <f aca="false">G8</f>
        <v>521916</v>
      </c>
      <c r="G17" s="10" t="n">
        <f aca="false">0.35*F17</f>
        <v>182670.6</v>
      </c>
      <c r="H17" s="10" t="n">
        <f aca="false">F17+G17</f>
        <v>704586.6</v>
      </c>
      <c r="I17" s="10" t="n">
        <f aca="false">'1.Исходные данные'!B5*H17</f>
        <v>105687.99</v>
      </c>
    </row>
    <row r="18" customFormat="false" ht="15" hidden="false" customHeight="false" outlineLevel="0" collapsed="false">
      <c r="A18" s="5" t="s">
        <v>175</v>
      </c>
      <c r="B18" s="10"/>
      <c r="C18" s="10"/>
      <c r="D18" s="10" t="n">
        <f aca="false">SUM(D13:D17)</f>
        <v>49384485</v>
      </c>
      <c r="E18" s="10" t="n">
        <f aca="false">SUM(E13:E17)</f>
        <v>7407672.75</v>
      </c>
      <c r="F18" s="10"/>
      <c r="G18" s="10"/>
      <c r="H18" s="10" t="n">
        <f aca="false">SUM(H13:H17)</f>
        <v>27344873.7</v>
      </c>
      <c r="I18" s="10" t="n">
        <f aca="false">SUM(I13:I17)</f>
        <v>4101731.055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8"/>
    <col collapsed="false" customWidth="true" hidden="false" outlineLevel="0" max="4" min="3" style="0" width="9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6" t="s">
        <v>176</v>
      </c>
      <c r="B1" s="6"/>
      <c r="C1" s="6"/>
      <c r="D1" s="6"/>
      <c r="E1" s="6"/>
      <c r="F1" s="6"/>
      <c r="G1" s="6"/>
      <c r="H1" s="6"/>
      <c r="I1" s="6"/>
    </row>
    <row r="3" customFormat="false" ht="25.35" hidden="false" customHeight="false" outlineLevel="0" collapsed="false">
      <c r="A3" s="2" t="s">
        <v>86</v>
      </c>
      <c r="B3" s="2" t="s">
        <v>28</v>
      </c>
      <c r="C3" s="2" t="s">
        <v>105</v>
      </c>
      <c r="D3" s="2" t="s">
        <v>177</v>
      </c>
      <c r="E3" s="2" t="s">
        <v>178</v>
      </c>
      <c r="F3" s="2" t="s">
        <v>163</v>
      </c>
      <c r="G3" s="2" t="s">
        <v>164</v>
      </c>
      <c r="H3" s="2" t="s">
        <v>165</v>
      </c>
      <c r="I3" s="2" t="s">
        <v>166</v>
      </c>
    </row>
    <row r="4" customFormat="false" ht="15" hidden="false" customHeight="false" outlineLevel="0" collapsed="false">
      <c r="A4" s="3" t="s">
        <v>90</v>
      </c>
      <c r="B4" s="3" t="n">
        <v>5</v>
      </c>
      <c r="C4" s="9" t="n">
        <f aca="false">'6.Табл8-9_Тарифы'!F7</f>
        <v>272.48</v>
      </c>
      <c r="D4" s="3" t="n">
        <f aca="false">'5.Численность персонала'!F13</f>
        <v>3</v>
      </c>
      <c r="E4" s="9" t="n">
        <f aca="false">C4*'3.Табл.6 ФондВремени'!D14*D4*'1.Исходные данные'!B13</f>
        <v>1822891.2</v>
      </c>
      <c r="F4" s="9" t="n">
        <f aca="false">0.35*E4</f>
        <v>638011.92</v>
      </c>
      <c r="G4" s="9" t="n">
        <f aca="false">E4+F4</f>
        <v>2460903.12</v>
      </c>
      <c r="H4" s="9" t="n">
        <f aca="false">'1.Исходные данные'!B5*G4</f>
        <v>369135.468</v>
      </c>
      <c r="I4" s="9" t="n">
        <f aca="false">G4+H4</f>
        <v>2830038.588</v>
      </c>
    </row>
    <row r="5" customFormat="false" ht="15" hidden="false" customHeight="false" outlineLevel="0" collapsed="false">
      <c r="A5" s="3" t="s">
        <v>91</v>
      </c>
      <c r="B5" s="3" t="n">
        <v>4</v>
      </c>
      <c r="C5" s="9" t="n">
        <f aca="false">'6.Табл8-9_Тарифы'!E7</f>
        <v>250.8</v>
      </c>
      <c r="D5" s="3" t="n">
        <f aca="false">'5.Численность персонала'!F14</f>
        <v>2</v>
      </c>
      <c r="E5" s="9" t="n">
        <f aca="false">C5*'3.Табл.6 ФондВремени'!D14*D5*'1.Исходные данные'!B13</f>
        <v>1118568</v>
      </c>
      <c r="F5" s="9" t="n">
        <f aca="false">0.35*E5</f>
        <v>391498.8</v>
      </c>
      <c r="G5" s="9" t="n">
        <f aca="false">E5+F5</f>
        <v>1510066.8</v>
      </c>
      <c r="H5" s="9" t="n">
        <f aca="false">'1.Исходные данные'!B5*G5</f>
        <v>226510.02</v>
      </c>
      <c r="I5" s="9" t="n">
        <f aca="false">G5+H5</f>
        <v>1736576.82</v>
      </c>
    </row>
    <row r="6" customFormat="false" ht="25.35" hidden="false" customHeight="false" outlineLevel="0" collapsed="false">
      <c r="A6" s="3" t="s">
        <v>92</v>
      </c>
      <c r="B6" s="3" t="n">
        <v>5</v>
      </c>
      <c r="C6" s="9" t="n">
        <f aca="false">'6.Табл8-9_Тарифы'!F7</f>
        <v>272.48</v>
      </c>
      <c r="D6" s="3" t="n">
        <f aca="false">'5.Численность персонала'!F15</f>
        <v>2</v>
      </c>
      <c r="E6" s="9" t="n">
        <f aca="false">C6*'3.Табл.6 ФондВремени'!D14*D6*'1.Исходные данные'!B13</f>
        <v>1215260.8</v>
      </c>
      <c r="F6" s="9" t="n">
        <f aca="false">0.35*E6</f>
        <v>425341.28</v>
      </c>
      <c r="G6" s="9" t="n">
        <f aca="false">E6+F6</f>
        <v>1640602.08</v>
      </c>
      <c r="H6" s="9" t="n">
        <f aca="false">'1.Исходные данные'!B5*G6</f>
        <v>246090.312</v>
      </c>
      <c r="I6" s="9" t="n">
        <f aca="false">G6+H6</f>
        <v>1886692.392</v>
      </c>
    </row>
    <row r="7" customFormat="false" ht="15" hidden="false" customHeight="false" outlineLevel="0" collapsed="false">
      <c r="A7" s="3" t="s">
        <v>93</v>
      </c>
      <c r="B7" s="3" t="n">
        <v>4</v>
      </c>
      <c r="C7" s="9" t="n">
        <f aca="false">'6.Табл8-9_Тарифы'!E7</f>
        <v>250.8</v>
      </c>
      <c r="D7" s="3" t="n">
        <f aca="false">'5.Численность персонала'!F16</f>
        <v>2</v>
      </c>
      <c r="E7" s="9" t="n">
        <f aca="false">C7*'3.Табл.6 ФондВремени'!D14*D7*'1.Исходные данные'!B13</f>
        <v>1118568</v>
      </c>
      <c r="F7" s="9" t="n">
        <f aca="false">0.35*E7</f>
        <v>391498.8</v>
      </c>
      <c r="G7" s="9" t="n">
        <f aca="false">E7+F7</f>
        <v>1510066.8</v>
      </c>
      <c r="H7" s="9" t="n">
        <f aca="false">'1.Исходные данные'!B5*G7</f>
        <v>226510.02</v>
      </c>
      <c r="I7" s="9" t="n">
        <f aca="false">G7+H7</f>
        <v>1736576.82</v>
      </c>
    </row>
    <row r="8" customFormat="false" ht="15" hidden="false" customHeight="false" outlineLevel="0" collapsed="false">
      <c r="A8" s="3" t="s">
        <v>94</v>
      </c>
      <c r="B8" s="3" t="n">
        <v>3</v>
      </c>
      <c r="C8" s="9" t="n">
        <f aca="false">'6.Табл8-9_Тарифы'!D7</f>
        <v>224.48</v>
      </c>
      <c r="D8" s="3" t="n">
        <f aca="false">'5.Численность персонала'!F17</f>
        <v>2</v>
      </c>
      <c r="E8" s="9" t="n">
        <f aca="false">C8*'3.Табл.6 ФондВремени'!D14*D8*'1.Исходные данные'!B13</f>
        <v>1001180.8</v>
      </c>
      <c r="F8" s="9" t="n">
        <f aca="false">0.35*E8</f>
        <v>350413.28</v>
      </c>
      <c r="G8" s="9" t="n">
        <f aca="false">E8+F8</f>
        <v>1351594.08</v>
      </c>
      <c r="H8" s="9" t="n">
        <f aca="false">'1.Исходные данные'!B5*G8</f>
        <v>202739.112</v>
      </c>
      <c r="I8" s="9" t="n">
        <f aca="false">G8+H8</f>
        <v>1554333.192</v>
      </c>
    </row>
    <row r="9" customFormat="false" ht="15" hidden="false" customHeight="false" outlineLevel="0" collapsed="false">
      <c r="A9" s="3" t="s">
        <v>95</v>
      </c>
      <c r="B9" s="3" t="n">
        <v>3</v>
      </c>
      <c r="C9" s="9" t="n">
        <f aca="false">'6.Табл8-9_Тарифы'!D7</f>
        <v>224.48</v>
      </c>
      <c r="D9" s="3" t="n">
        <f aca="false">'5.Численность персонала'!F18</f>
        <v>2</v>
      </c>
      <c r="E9" s="9" t="n">
        <f aca="false">C9*'3.Табл.6 ФондВремени'!D14*D9*'1.Исходные данные'!B13</f>
        <v>1001180.8</v>
      </c>
      <c r="F9" s="9" t="n">
        <f aca="false">0.35*E9</f>
        <v>350413.28</v>
      </c>
      <c r="G9" s="9" t="n">
        <f aca="false">E9+F9</f>
        <v>1351594.08</v>
      </c>
      <c r="H9" s="9" t="n">
        <f aca="false">'1.Исходные данные'!B5*G9</f>
        <v>202739.112</v>
      </c>
      <c r="I9" s="9" t="n">
        <f aca="false">G9+H9</f>
        <v>1554333.192</v>
      </c>
    </row>
    <row r="10" customFormat="false" ht="15" hidden="false" customHeight="false" outlineLevel="0" collapsed="false">
      <c r="A10" s="3" t="s">
        <v>96</v>
      </c>
      <c r="B10" s="3" t="n">
        <v>3</v>
      </c>
      <c r="C10" s="9" t="n">
        <f aca="false">'6.Табл8-9_Тарифы'!D7</f>
        <v>224.48</v>
      </c>
      <c r="D10" s="3" t="n">
        <f aca="false">'5.Численность персонала'!F19</f>
        <v>2</v>
      </c>
      <c r="E10" s="9" t="n">
        <f aca="false">C10*'3.Табл.6 ФондВремени'!D14*D10*'1.Исходные данные'!B13</f>
        <v>1001180.8</v>
      </c>
      <c r="F10" s="9" t="n">
        <f aca="false">0.35*E10</f>
        <v>350413.28</v>
      </c>
      <c r="G10" s="9" t="n">
        <f aca="false">E10+F10</f>
        <v>1351594.08</v>
      </c>
      <c r="H10" s="9" t="n">
        <f aca="false">'1.Исходные данные'!B5*G10</f>
        <v>202739.112</v>
      </c>
      <c r="I10" s="9" t="n">
        <f aca="false">G10+H10</f>
        <v>1554333.192</v>
      </c>
    </row>
    <row r="11" customFormat="false" ht="15" hidden="false" customHeight="false" outlineLevel="0" collapsed="false">
      <c r="A11" s="3" t="s">
        <v>175</v>
      </c>
      <c r="B11" s="3"/>
      <c r="C11" s="9"/>
      <c r="D11" s="3"/>
      <c r="E11" s="9"/>
      <c r="F11" s="9"/>
      <c r="G11" s="9"/>
      <c r="H11" s="9"/>
      <c r="I11" s="9" t="n">
        <f aca="false">SUM(I4:I10)</f>
        <v>12852884.196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9"/>
    <col collapsed="false" customWidth="true" hidden="false" outlineLevel="0" max="5" min="4" style="0" width="13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6" t="s">
        <v>179</v>
      </c>
      <c r="B1" s="6"/>
      <c r="C1" s="6"/>
      <c r="D1" s="6"/>
      <c r="E1" s="6"/>
      <c r="F1" s="6"/>
      <c r="G1" s="6"/>
      <c r="H1" s="6"/>
      <c r="I1" s="6"/>
      <c r="J1" s="6"/>
      <c r="K1" s="6"/>
    </row>
    <row r="3" customFormat="false" ht="25.35" hidden="false" customHeight="false" outlineLevel="0" collapsed="false">
      <c r="A3" s="2" t="s">
        <v>110</v>
      </c>
      <c r="B3" s="2" t="s">
        <v>111</v>
      </c>
      <c r="C3" s="2" t="s">
        <v>180</v>
      </c>
      <c r="D3" s="2" t="s">
        <v>181</v>
      </c>
      <c r="E3" s="2" t="s">
        <v>182</v>
      </c>
      <c r="F3" s="2" t="s">
        <v>163</v>
      </c>
      <c r="G3" s="2" t="s">
        <v>164</v>
      </c>
      <c r="H3" s="2" t="s">
        <v>165</v>
      </c>
      <c r="I3" s="2" t="s">
        <v>183</v>
      </c>
    </row>
    <row r="4" customFormat="false" ht="15" hidden="false" customHeight="false" outlineLevel="0" collapsed="false">
      <c r="A4" s="3" t="s">
        <v>115</v>
      </c>
      <c r="B4" s="3" t="s">
        <v>116</v>
      </c>
      <c r="C4" s="9" t="n">
        <f aca="false">'7.Приложение1-2_Штат'!C4</f>
        <v>1</v>
      </c>
      <c r="D4" s="9" t="n">
        <f aca="false">'7.Приложение1-2_Штат'!E4</f>
        <v>161203.35</v>
      </c>
      <c r="E4" s="9" t="n">
        <f aca="false">D4*'1.Исходные данные'!B13</f>
        <v>201504.1875</v>
      </c>
      <c r="F4" s="9" t="n">
        <f aca="false">0.35*E4</f>
        <v>70526.465625</v>
      </c>
      <c r="G4" s="9" t="n">
        <f aca="false">E4+F4</f>
        <v>272030.653125</v>
      </c>
      <c r="H4" s="9" t="n">
        <f aca="false">'1.Исходные данные'!B5*G4</f>
        <v>40804.59796875</v>
      </c>
      <c r="I4" s="9" t="n">
        <f aca="false">(G4+H4)*C4*12</f>
        <v>3754023.013125</v>
      </c>
    </row>
    <row r="5" customFormat="false" ht="15" hidden="false" customHeight="false" outlineLevel="0" collapsed="false">
      <c r="A5" s="3" t="s">
        <v>115</v>
      </c>
      <c r="B5" s="3" t="s">
        <v>117</v>
      </c>
      <c r="C5" s="9" t="n">
        <f aca="false">'7.Приложение1-2_Штат'!C5</f>
        <v>1</v>
      </c>
      <c r="D5" s="9" t="n">
        <f aca="false">'7.Приложение1-2_Штат'!E5</f>
        <v>144134.76</v>
      </c>
      <c r="E5" s="9" t="n">
        <f aca="false">D5*'1.Исходные данные'!B13</f>
        <v>180168.45</v>
      </c>
      <c r="F5" s="9" t="n">
        <f aca="false">0.35*E5</f>
        <v>63058.9575</v>
      </c>
      <c r="G5" s="9" t="n">
        <f aca="false">E5+F5</f>
        <v>243227.4075</v>
      </c>
      <c r="H5" s="9" t="n">
        <f aca="false">'1.Исходные данные'!B5*G5</f>
        <v>36484.111125</v>
      </c>
      <c r="I5" s="9" t="n">
        <f aca="false">(G5+H5)*C5*12</f>
        <v>3356538.2235</v>
      </c>
    </row>
    <row r="6" customFormat="false" ht="15" hidden="false" customHeight="false" outlineLevel="0" collapsed="false">
      <c r="A6" s="3" t="s">
        <v>115</v>
      </c>
      <c r="B6" s="3" t="s">
        <v>118</v>
      </c>
      <c r="C6" s="9" t="n">
        <f aca="false">'7.Приложение1-2_Штат'!C6</f>
        <v>1</v>
      </c>
      <c r="D6" s="9" t="n">
        <f aca="false">'7.Приложение1-2_Штат'!E6</f>
        <v>128149.89</v>
      </c>
      <c r="E6" s="9" t="n">
        <f aca="false">D6*'1.Исходные данные'!B13</f>
        <v>160187.3625</v>
      </c>
      <c r="F6" s="9" t="n">
        <f aca="false">0.35*E6</f>
        <v>56065.576875</v>
      </c>
      <c r="G6" s="9" t="n">
        <f aca="false">E6+F6</f>
        <v>216252.939375</v>
      </c>
      <c r="H6" s="9" t="n">
        <f aca="false">'1.Исходные данные'!B5*G6</f>
        <v>32437.94090625</v>
      </c>
      <c r="I6" s="9" t="n">
        <f aca="false">(G6+H6)*C6*12</f>
        <v>2984290.563375</v>
      </c>
    </row>
    <row r="7" customFormat="false" ht="15" hidden="false" customHeight="false" outlineLevel="0" collapsed="false">
      <c r="A7" s="3" t="s">
        <v>119</v>
      </c>
      <c r="B7" s="3" t="s">
        <v>120</v>
      </c>
      <c r="C7" s="9" t="n">
        <f aca="false">'7.Приложение1-2_Штат'!C7</f>
        <v>1</v>
      </c>
      <c r="D7" s="9" t="n">
        <f aca="false">'7.Приложение1-2_Штат'!E7</f>
        <v>88594.11</v>
      </c>
      <c r="E7" s="9" t="n">
        <f aca="false">D7*'1.Исходные данные'!B13</f>
        <v>110742.6375</v>
      </c>
      <c r="F7" s="9" t="n">
        <f aca="false">0.35*E7</f>
        <v>38759.923125</v>
      </c>
      <c r="G7" s="9" t="n">
        <f aca="false">E7+F7</f>
        <v>149502.560625</v>
      </c>
      <c r="H7" s="9" t="n">
        <f aca="false">'1.Исходные данные'!B5*G7</f>
        <v>22425.38409375</v>
      </c>
      <c r="I7" s="9" t="n">
        <f aca="false">(G7+H7)*C7*12</f>
        <v>2063135.336625</v>
      </c>
    </row>
    <row r="8" customFormat="false" ht="15" hidden="false" customHeight="false" outlineLevel="0" collapsed="false">
      <c r="A8" s="3" t="s">
        <v>119</v>
      </c>
      <c r="B8" s="3" t="s">
        <v>121</v>
      </c>
      <c r="C8" s="9" t="n">
        <f aca="false">'7.Приложение1-2_Штат'!C8</f>
        <v>1</v>
      </c>
      <c r="D8" s="9" t="n">
        <f aca="false">'7.Приложение1-2_Штат'!E8</f>
        <v>88594.11</v>
      </c>
      <c r="E8" s="9" t="n">
        <f aca="false">D8*'1.Исходные данные'!B13</f>
        <v>110742.6375</v>
      </c>
      <c r="F8" s="9" t="n">
        <f aca="false">0.35*E8</f>
        <v>38759.923125</v>
      </c>
      <c r="G8" s="9" t="n">
        <f aca="false">E8+F8</f>
        <v>149502.560625</v>
      </c>
      <c r="H8" s="9" t="n">
        <f aca="false">'1.Исходные данные'!B5*G8</f>
        <v>22425.38409375</v>
      </c>
      <c r="I8" s="9" t="n">
        <f aca="false">(G8+H8)*C8*12</f>
        <v>2063135.336625</v>
      </c>
    </row>
    <row r="9" customFormat="false" ht="15" hidden="false" customHeight="false" outlineLevel="0" collapsed="false">
      <c r="A9" s="3" t="s">
        <v>119</v>
      </c>
      <c r="B9" s="3" t="s">
        <v>122</v>
      </c>
      <c r="C9" s="9" t="n">
        <f aca="false">'7.Приложение1-2_Штат'!C9</f>
        <v>1</v>
      </c>
      <c r="D9" s="9" t="n">
        <f aca="false">'7.Приложение1-2_Штат'!E9</f>
        <v>68816.22</v>
      </c>
      <c r="E9" s="9" t="n">
        <f aca="false">D9*'1.Исходные данные'!B13</f>
        <v>86020.275</v>
      </c>
      <c r="F9" s="9" t="n">
        <f aca="false">0.35*E9</f>
        <v>30107.09625</v>
      </c>
      <c r="G9" s="9" t="n">
        <f aca="false">E9+F9</f>
        <v>116127.37125</v>
      </c>
      <c r="H9" s="9" t="n">
        <f aca="false">'1.Исходные данные'!B5*G9</f>
        <v>17419.1056875</v>
      </c>
      <c r="I9" s="9" t="n">
        <f aca="false">(G9+H9)*C9*12</f>
        <v>1602557.72325</v>
      </c>
    </row>
    <row r="10" customFormat="false" ht="15" hidden="false" customHeight="false" outlineLevel="0" collapsed="false">
      <c r="A10" s="3" t="s">
        <v>119</v>
      </c>
      <c r="B10" s="3" t="s">
        <v>123</v>
      </c>
      <c r="C10" s="9" t="n">
        <f aca="false">'7.Приложение1-2_Штат'!C10</f>
        <v>1</v>
      </c>
      <c r="D10" s="9" t="n">
        <f aca="false">'7.Приложение1-2_Штат'!E10</f>
        <v>68816.22</v>
      </c>
      <c r="E10" s="9" t="n">
        <f aca="false">D10*'1.Исходные данные'!B13</f>
        <v>86020.275</v>
      </c>
      <c r="F10" s="9" t="n">
        <f aca="false">0.35*E10</f>
        <v>30107.09625</v>
      </c>
      <c r="G10" s="9" t="n">
        <f aca="false">E10+F10</f>
        <v>116127.37125</v>
      </c>
      <c r="H10" s="9" t="n">
        <f aca="false">'1.Исходные данные'!B5*G10</f>
        <v>17419.1056875</v>
      </c>
      <c r="I10" s="9" t="n">
        <f aca="false">(G10+H10)*C10*12</f>
        <v>1602557.72325</v>
      </c>
    </row>
    <row r="11" customFormat="false" ht="15" hidden="false" customHeight="false" outlineLevel="0" collapsed="false">
      <c r="A11" s="3" t="s">
        <v>119</v>
      </c>
      <c r="B11" s="3" t="s">
        <v>124</v>
      </c>
      <c r="C11" s="9" t="n">
        <f aca="false">'7.Приложение1-2_Штат'!C11</f>
        <v>1</v>
      </c>
      <c r="D11" s="9" t="n">
        <f aca="false">'7.Приложение1-2_Штат'!E11</f>
        <v>78840.63</v>
      </c>
      <c r="E11" s="9" t="n">
        <f aca="false">D11*'1.Исходные данные'!B13</f>
        <v>98550.7875</v>
      </c>
      <c r="F11" s="9" t="n">
        <f aca="false">0.35*E11</f>
        <v>34492.775625</v>
      </c>
      <c r="G11" s="9" t="n">
        <f aca="false">E11+F11</f>
        <v>133043.563125</v>
      </c>
      <c r="H11" s="9" t="n">
        <f aca="false">'1.Исходные данные'!B5*G11</f>
        <v>19956.53446875</v>
      </c>
      <c r="I11" s="9" t="n">
        <f aca="false">(G11+H11)*C11*12</f>
        <v>1836001.171125</v>
      </c>
    </row>
    <row r="12" customFormat="false" ht="15" hidden="false" customHeight="false" outlineLevel="0" collapsed="false">
      <c r="A12" s="3" t="s">
        <v>119</v>
      </c>
      <c r="B12" s="3" t="s">
        <v>125</v>
      </c>
      <c r="C12" s="9" t="n">
        <f aca="false">'7.Приложение1-2_Штат'!C12</f>
        <v>2</v>
      </c>
      <c r="D12" s="9" t="n">
        <f aca="false">'7.Приложение1-2_Штат'!E12</f>
        <v>78840.63</v>
      </c>
      <c r="E12" s="9" t="n">
        <f aca="false">D12*'1.Исходные данные'!B13</f>
        <v>98550.7875</v>
      </c>
      <c r="F12" s="9" t="n">
        <f aca="false">0.35*E12</f>
        <v>34492.775625</v>
      </c>
      <c r="G12" s="9" t="n">
        <f aca="false">E12+F12</f>
        <v>133043.563125</v>
      </c>
      <c r="H12" s="9" t="n">
        <f aca="false">'1.Исходные данные'!B5*G12</f>
        <v>19956.53446875</v>
      </c>
      <c r="I12" s="9" t="n">
        <f aca="false">(G12+H12)*C12*12</f>
        <v>3672002.34225</v>
      </c>
    </row>
    <row r="13" customFormat="false" ht="15" hidden="false" customHeight="false" outlineLevel="0" collapsed="false">
      <c r="A13" s="3" t="s">
        <v>119</v>
      </c>
      <c r="B13" s="3" t="s">
        <v>126</v>
      </c>
      <c r="C13" s="9" t="n">
        <f aca="false">'7.Приложение1-2_Штат'!C13</f>
        <v>1</v>
      </c>
      <c r="D13" s="9" t="n">
        <f aca="false">'7.Приложение1-2_Штат'!E13</f>
        <v>78840.63</v>
      </c>
      <c r="E13" s="9" t="n">
        <f aca="false">D13*'1.Исходные данные'!B13</f>
        <v>98550.7875</v>
      </c>
      <c r="F13" s="9" t="n">
        <f aca="false">0.35*E13</f>
        <v>34492.775625</v>
      </c>
      <c r="G13" s="9" t="n">
        <f aca="false">E13+F13</f>
        <v>133043.563125</v>
      </c>
      <c r="H13" s="9" t="n">
        <f aca="false">'1.Исходные данные'!B5*G13</f>
        <v>19956.53446875</v>
      </c>
      <c r="I13" s="9" t="n">
        <f aca="false">(G13+H13)*C13*12</f>
        <v>1836001.171125</v>
      </c>
    </row>
    <row r="14" customFormat="false" ht="15" hidden="false" customHeight="false" outlineLevel="0" collapsed="false">
      <c r="A14" s="3" t="s">
        <v>119</v>
      </c>
      <c r="B14" s="3" t="s">
        <v>127</v>
      </c>
      <c r="C14" s="9" t="n">
        <f aca="false">'7.Приложение1-2_Штат'!C14</f>
        <v>1</v>
      </c>
      <c r="D14" s="9" t="n">
        <f aca="false">'7.Приложение1-2_Штат'!E14</f>
        <v>88594.11</v>
      </c>
      <c r="E14" s="9" t="n">
        <f aca="false">D14*'1.Исходные данные'!B13</f>
        <v>110742.6375</v>
      </c>
      <c r="F14" s="9" t="n">
        <f aca="false">0.35*E14</f>
        <v>38759.923125</v>
      </c>
      <c r="G14" s="9" t="n">
        <f aca="false">E14+F14</f>
        <v>149502.560625</v>
      </c>
      <c r="H14" s="9" t="n">
        <f aca="false">'1.Исходные данные'!B5*G14</f>
        <v>22425.38409375</v>
      </c>
      <c r="I14" s="9" t="n">
        <f aca="false">(G14+H14)*C14*12</f>
        <v>2063135.336625</v>
      </c>
    </row>
    <row r="15" customFormat="false" ht="15" hidden="false" customHeight="false" outlineLevel="0" collapsed="false">
      <c r="A15" s="3" t="s">
        <v>119</v>
      </c>
      <c r="B15" s="3" t="s">
        <v>128</v>
      </c>
      <c r="C15" s="9" t="n">
        <f aca="false">'7.Приложение1-2_Штат'!C15</f>
        <v>1</v>
      </c>
      <c r="D15" s="9" t="n">
        <f aca="false">'7.Приложение1-2_Штат'!E15</f>
        <v>88594.11</v>
      </c>
      <c r="E15" s="9" t="n">
        <f aca="false">D15*'1.Исходные данные'!B13</f>
        <v>110742.6375</v>
      </c>
      <c r="F15" s="9" t="n">
        <f aca="false">0.35*E15</f>
        <v>38759.923125</v>
      </c>
      <c r="G15" s="9" t="n">
        <f aca="false">E15+F15</f>
        <v>149502.560625</v>
      </c>
      <c r="H15" s="9" t="n">
        <f aca="false">'1.Исходные данные'!B5*G15</f>
        <v>22425.38409375</v>
      </c>
      <c r="I15" s="9" t="n">
        <f aca="false">(G15+H15)*C15*12</f>
        <v>2063135.336625</v>
      </c>
    </row>
    <row r="16" customFormat="false" ht="25.35" hidden="false" customHeight="false" outlineLevel="0" collapsed="false">
      <c r="A16" s="3" t="s">
        <v>129</v>
      </c>
      <c r="B16" s="3" t="s">
        <v>130</v>
      </c>
      <c r="C16" s="9" t="n">
        <f aca="false">'7.Приложение1-2_Штат'!C16</f>
        <v>1</v>
      </c>
      <c r="D16" s="9" t="n">
        <f aca="false">'7.Приложение1-2_Штат'!E16</f>
        <v>61501.11</v>
      </c>
      <c r="E16" s="9" t="n">
        <f aca="false">D16*'1.Исходные данные'!B13</f>
        <v>76876.3875</v>
      </c>
      <c r="F16" s="9" t="n">
        <f aca="false">0.35*E16</f>
        <v>26906.735625</v>
      </c>
      <c r="G16" s="9" t="n">
        <f aca="false">E16+F16</f>
        <v>103783.123125</v>
      </c>
      <c r="H16" s="9" t="n">
        <f aca="false">'1.Исходные данные'!B5*G16</f>
        <v>15567.46846875</v>
      </c>
      <c r="I16" s="9" t="n">
        <f aca="false">(G16+H16)*C16*12</f>
        <v>1432207.099125</v>
      </c>
    </row>
    <row r="17" customFormat="false" ht="25.35" hidden="false" customHeight="false" outlineLevel="0" collapsed="false">
      <c r="A17" s="3" t="s">
        <v>129</v>
      </c>
      <c r="B17" s="3" t="s">
        <v>131</v>
      </c>
      <c r="C17" s="9" t="n">
        <f aca="false">'7.Приложение1-2_Штат'!C17</f>
        <v>1</v>
      </c>
      <c r="D17" s="9" t="n">
        <f aca="false">'7.Приложение1-2_Штат'!E17</f>
        <v>61501.11</v>
      </c>
      <c r="E17" s="9" t="n">
        <f aca="false">D17*'1.Исходные данные'!B13</f>
        <v>76876.3875</v>
      </c>
      <c r="F17" s="9" t="n">
        <f aca="false">0.35*E17</f>
        <v>26906.735625</v>
      </c>
      <c r="G17" s="9" t="n">
        <f aca="false">E17+F17</f>
        <v>103783.123125</v>
      </c>
      <c r="H17" s="9" t="n">
        <f aca="false">'1.Исходные данные'!B5*G17</f>
        <v>15567.46846875</v>
      </c>
      <c r="I17" s="9" t="n">
        <f aca="false">(G17+H17)*C17*12</f>
        <v>1432207.099125</v>
      </c>
    </row>
    <row r="18" customFormat="false" ht="25.35" hidden="false" customHeight="false" outlineLevel="0" collapsed="false">
      <c r="A18" s="3" t="s">
        <v>129</v>
      </c>
      <c r="B18" s="3" t="s">
        <v>132</v>
      </c>
      <c r="C18" s="9" t="n">
        <f aca="false">'7.Приложение1-2_Штат'!C18</f>
        <v>3</v>
      </c>
      <c r="D18" s="9" t="n">
        <f aca="false">'7.Приложение1-2_Штат'!E18</f>
        <v>54186</v>
      </c>
      <c r="E18" s="9" t="n">
        <f aca="false">D18*'1.Исходные данные'!B13</f>
        <v>67732.5</v>
      </c>
      <c r="F18" s="9" t="n">
        <f aca="false">0.35*E18</f>
        <v>23706.375</v>
      </c>
      <c r="G18" s="9" t="n">
        <f aca="false">E18+F18</f>
        <v>91438.875</v>
      </c>
      <c r="H18" s="9" t="n">
        <f aca="false">'1.Исходные данные'!B5*G18</f>
        <v>13715.83125</v>
      </c>
      <c r="I18" s="9" t="n">
        <f aca="false">(G18+H18)*C18*12</f>
        <v>3785569.425</v>
      </c>
    </row>
    <row r="19" customFormat="false" ht="25.35" hidden="false" customHeight="false" outlineLevel="0" collapsed="false">
      <c r="A19" s="3" t="s">
        <v>129</v>
      </c>
      <c r="B19" s="3" t="s">
        <v>133</v>
      </c>
      <c r="C19" s="9" t="n">
        <f aca="false">'7.Приложение1-2_Штат'!C19</f>
        <v>1</v>
      </c>
      <c r="D19" s="9" t="n">
        <f aca="false">'7.Приложение1-2_Штат'!E19</f>
        <v>49309.26</v>
      </c>
      <c r="E19" s="9" t="n">
        <f aca="false">D19*'1.Исходные данные'!B13</f>
        <v>61636.575</v>
      </c>
      <c r="F19" s="9" t="n">
        <f aca="false">0.35*E19</f>
        <v>21572.80125</v>
      </c>
      <c r="G19" s="9" t="n">
        <f aca="false">E19+F19</f>
        <v>83209.37625</v>
      </c>
      <c r="H19" s="9" t="n">
        <f aca="false">'1.Исходные данные'!B5*G19</f>
        <v>12481.4064375</v>
      </c>
      <c r="I19" s="9" t="n">
        <f aca="false">(G19+H19)*C19*12</f>
        <v>1148289.39225</v>
      </c>
    </row>
    <row r="20" customFormat="false" ht="25.35" hidden="false" customHeight="false" outlineLevel="0" collapsed="false">
      <c r="A20" s="3" t="s">
        <v>129</v>
      </c>
      <c r="B20" s="3" t="s">
        <v>134</v>
      </c>
      <c r="C20" s="9" t="n">
        <f aca="false">'7.Приложение1-2_Штат'!C20</f>
        <v>4</v>
      </c>
      <c r="D20" s="9" t="n">
        <f aca="false">'7.Приложение1-2_Штат'!E20</f>
        <v>43077.87</v>
      </c>
      <c r="E20" s="9" t="n">
        <f aca="false">D20*'1.Исходные данные'!B13</f>
        <v>53847.3375</v>
      </c>
      <c r="F20" s="9" t="n">
        <f aca="false">0.35*E20</f>
        <v>18846.568125</v>
      </c>
      <c r="G20" s="9" t="n">
        <f aca="false">E20+F20</f>
        <v>72693.905625</v>
      </c>
      <c r="H20" s="9" t="n">
        <f aca="false">'1.Исходные данные'!B5*G20</f>
        <v>10904.08584375</v>
      </c>
      <c r="I20" s="9" t="n">
        <f aca="false">(G20+H20)*C20*12</f>
        <v>4012703.5905</v>
      </c>
    </row>
    <row r="21" customFormat="false" ht="25.35" hidden="false" customHeight="false" outlineLevel="0" collapsed="false">
      <c r="A21" s="3" t="s">
        <v>129</v>
      </c>
      <c r="B21" s="3" t="s">
        <v>135</v>
      </c>
      <c r="C21" s="9" t="n">
        <f aca="false">'7.Приложение1-2_Штат'!C21</f>
        <v>4</v>
      </c>
      <c r="D21" s="9" t="n">
        <f aca="false">'7.Приложение1-2_Штат'!E21</f>
        <v>36846.48</v>
      </c>
      <c r="E21" s="9" t="n">
        <f aca="false">D21*'1.Исходные данные'!B13</f>
        <v>46058.1</v>
      </c>
      <c r="F21" s="9" t="n">
        <f aca="false">0.35*E21</f>
        <v>16120.335</v>
      </c>
      <c r="G21" s="9" t="n">
        <f aca="false">E21+F21</f>
        <v>62178.435</v>
      </c>
      <c r="H21" s="9" t="n">
        <f aca="false">'1.Исходные данные'!B5*G21</f>
        <v>9326.76525</v>
      </c>
      <c r="I21" s="9" t="n">
        <f aca="false">(G21+H21)*C21*12</f>
        <v>3432249.612</v>
      </c>
    </row>
    <row r="22" customFormat="false" ht="15" hidden="false" customHeight="false" outlineLevel="0" collapsed="false">
      <c r="A22" s="3" t="s">
        <v>175</v>
      </c>
      <c r="B22" s="3"/>
      <c r="C22" s="9"/>
      <c r="D22" s="9"/>
      <c r="E22" s="9"/>
      <c r="F22" s="9"/>
      <c r="G22" s="9"/>
      <c r="H22" s="9"/>
      <c r="I22" s="9" t="n">
        <f aca="false">SUM(I4:I21)</f>
        <v>44139739.4955</v>
      </c>
    </row>
    <row r="23" customFormat="false" ht="25.35" hidden="false" customHeight="false" outlineLevel="0" collapsed="false">
      <c r="A23" s="3" t="s">
        <v>184</v>
      </c>
      <c r="B23" s="3"/>
      <c r="C23" s="9"/>
      <c r="D23" s="9"/>
      <c r="E23" s="9"/>
      <c r="F23" s="9"/>
      <c r="G23" s="9"/>
      <c r="H23" s="9"/>
      <c r="I23" s="9" t="n">
        <f aca="false">SUMIF(A4:A21,"Руководители",I4:I21)</f>
        <v>10094851.8</v>
      </c>
    </row>
    <row r="24" customFormat="false" ht="25.35" hidden="false" customHeight="false" outlineLevel="0" collapsed="false">
      <c r="A24" s="3" t="s">
        <v>185</v>
      </c>
      <c r="B24" s="3"/>
      <c r="C24" s="9"/>
      <c r="D24" s="9"/>
      <c r="E24" s="9"/>
      <c r="F24" s="9"/>
      <c r="G24" s="9"/>
      <c r="H24" s="9"/>
      <c r="I24" s="9" t="n">
        <f aca="false">SUMIF(A4:A21,"Специалисты",I4:I21)</f>
        <v>18801661.4775</v>
      </c>
    </row>
    <row r="25" customFormat="false" ht="37.3" hidden="false" customHeight="false" outlineLevel="0" collapsed="false">
      <c r="A25" s="3" t="s">
        <v>186</v>
      </c>
      <c r="B25" s="3"/>
      <c r="C25" s="9"/>
      <c r="D25" s="9"/>
      <c r="E25" s="9"/>
      <c r="F25" s="9"/>
      <c r="G25" s="9"/>
      <c r="H25" s="9"/>
      <c r="I25" s="9" t="n">
        <f aca="false">SUMIF(A4:A21,"Другие служащие",I4:I21)</f>
        <v>15243226.218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4" min="4" style="0" width="17"/>
  </cols>
  <sheetData>
    <row r="1" customFormat="false" ht="15" hidden="false" customHeight="false" outlineLevel="0" collapsed="false">
      <c r="A1" s="6" t="s">
        <v>187</v>
      </c>
      <c r="B1" s="6"/>
      <c r="C1" s="6"/>
      <c r="D1" s="6"/>
      <c r="E1" s="6"/>
    </row>
    <row r="3" customFormat="false" ht="25.35" hidden="false" customHeight="false" outlineLevel="0" collapsed="false">
      <c r="A3" s="2" t="s">
        <v>188</v>
      </c>
      <c r="B3" s="2" t="s">
        <v>189</v>
      </c>
      <c r="C3" s="2" t="s">
        <v>190</v>
      </c>
      <c r="D3" s="2" t="s">
        <v>191</v>
      </c>
    </row>
    <row r="4" customFormat="false" ht="15" hidden="false" customHeight="false" outlineLevel="0" collapsed="false">
      <c r="A4" s="3" t="s">
        <v>115</v>
      </c>
      <c r="B4" s="9" t="n">
        <f aca="false">'11.Прил5_ФОТ_РукСпецСлуж'!I23</f>
        <v>10094851.8</v>
      </c>
      <c r="C4" s="3" t="n">
        <f aca="false">'5.Численность персонала'!B25</f>
        <v>3</v>
      </c>
      <c r="D4" s="9" t="n">
        <f aca="false">B4/C4/12</f>
        <v>280412.55</v>
      </c>
    </row>
    <row r="5" customFormat="false" ht="15" hidden="false" customHeight="false" outlineLevel="0" collapsed="false">
      <c r="A5" s="3" t="s">
        <v>119</v>
      </c>
      <c r="B5" s="9" t="n">
        <f aca="false">'11.Прил5_ФОТ_РукСпецСлуж'!I24</f>
        <v>18801661.4775</v>
      </c>
      <c r="C5" s="3" t="n">
        <f aca="false">'5.Численность персонала'!B23</f>
        <v>10</v>
      </c>
      <c r="D5" s="9" t="n">
        <f aca="false">B5/C5/12</f>
        <v>156680.5123125</v>
      </c>
    </row>
    <row r="6" customFormat="false" ht="15" hidden="false" customHeight="false" outlineLevel="0" collapsed="false">
      <c r="A6" s="3" t="s">
        <v>129</v>
      </c>
      <c r="B6" s="9" t="n">
        <f aca="false">'11.Прил5_ФОТ_РукСпецСлуж'!I25</f>
        <v>15243226.218</v>
      </c>
      <c r="C6" s="3" t="n">
        <f aca="false">'5.Численность персонала'!B24</f>
        <v>14</v>
      </c>
      <c r="D6" s="9" t="n">
        <f aca="false">B6/C6/12</f>
        <v>90733.4893928571</v>
      </c>
    </row>
    <row r="7" customFormat="false" ht="15" hidden="false" customHeight="false" outlineLevel="0" collapsed="false">
      <c r="A7" s="3" t="s">
        <v>192</v>
      </c>
      <c r="B7" s="9" t="n">
        <f aca="false">'9.Прил3_ФОТ_осн.раб'!L9+'10.Прил4_ФОТ_всп.раб'!I11</f>
        <v>101091646.701</v>
      </c>
      <c r="C7" s="3" t="n">
        <f aca="false">'5.Численность персонала'!B22</f>
        <v>116</v>
      </c>
      <c r="D7" s="9" t="n">
        <f aca="false">B7/C7/12</f>
        <v>72623.3094116379</v>
      </c>
    </row>
    <row r="8" customFormat="false" ht="15" hidden="false" customHeight="false" outlineLevel="0" collapsed="false">
      <c r="A8" s="3" t="s">
        <v>193</v>
      </c>
      <c r="B8" s="9" t="n">
        <f aca="false">'9.Прил3_ФОТ_осн.раб'!L9</f>
        <v>88238762.505</v>
      </c>
      <c r="C8" s="3" t="n">
        <f aca="false">'5.Численность персонала'!F9</f>
        <v>101</v>
      </c>
      <c r="D8" s="9" t="n">
        <f aca="false">B8/C8/12</f>
        <v>72804.2594925743</v>
      </c>
    </row>
    <row r="9" customFormat="false" ht="15" hidden="false" customHeight="false" outlineLevel="0" collapsed="false">
      <c r="A9" s="3" t="s">
        <v>194</v>
      </c>
      <c r="B9" s="9" t="n">
        <f aca="false">'10.Прил4_ФОТ_всп.раб'!I11</f>
        <v>12852884.196</v>
      </c>
      <c r="C9" s="3" t="n">
        <f aca="false">'5.Численность персонала'!F20</f>
        <v>15</v>
      </c>
      <c r="D9" s="9" t="n">
        <f aca="false">B9/C9/12</f>
        <v>71404.9122</v>
      </c>
    </row>
    <row r="10" customFormat="false" ht="15" hidden="false" customHeight="false" outlineLevel="0" collapsed="false">
      <c r="A10" s="3" t="s">
        <v>195</v>
      </c>
      <c r="B10" s="9" t="n">
        <f aca="false">'11.Прил5_ФОТ_РукСпецСлуж'!I23+'11.Прил5_ФОТ_РукСпецСлуж'!I24+'11.Прил5_ФОТ_РукСпецСлуж'!I25+'9.Прил3_ФОТ_осн.раб'!L9+'10.Прил4_ФОТ_всп.раб'!I11</f>
        <v>145231386.1965</v>
      </c>
      <c r="C10" s="3" t="n">
        <f aca="false">'5.Численность персонала'!B26</f>
        <v>143</v>
      </c>
      <c r="D10" s="9" t="n">
        <f aca="false">B10/C10/12</f>
        <v>84633.6749396853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6" t="s">
        <v>196</v>
      </c>
      <c r="B1" s="6"/>
      <c r="C1" s="6"/>
      <c r="D1" s="6"/>
      <c r="E1" s="6"/>
      <c r="F1" s="6"/>
      <c r="G1" s="6"/>
      <c r="H1" s="6"/>
    </row>
    <row r="3" customFormat="false" ht="25.35" hidden="false" customHeight="false" outlineLevel="0" collapsed="false">
      <c r="A3" s="2" t="s">
        <v>197</v>
      </c>
      <c r="B3" s="2" t="s">
        <v>198</v>
      </c>
      <c r="C3" s="2" t="s">
        <v>42</v>
      </c>
      <c r="D3" s="2" t="s">
        <v>199</v>
      </c>
      <c r="E3" s="2" t="s">
        <v>200</v>
      </c>
      <c r="F3" s="2" t="s">
        <v>201</v>
      </c>
      <c r="G3" s="2" t="s">
        <v>202</v>
      </c>
      <c r="H3" s="2" t="s">
        <v>203</v>
      </c>
    </row>
    <row r="4" customFormat="false" ht="15" hidden="false" customHeight="false" outlineLevel="0" collapsed="false">
      <c r="A4" s="3" t="s">
        <v>204</v>
      </c>
      <c r="B4" s="3" t="s">
        <v>205</v>
      </c>
      <c r="C4" s="3" t="s">
        <v>206</v>
      </c>
      <c r="D4" s="3" t="n">
        <v>1.1</v>
      </c>
      <c r="E4" s="9" t="n">
        <v>86</v>
      </c>
      <c r="F4" s="9" t="n">
        <f aca="false">ROUND(E4/1.22,2)</f>
        <v>70.49</v>
      </c>
      <c r="G4" s="9" t="n">
        <f aca="false">ROUND(D4*F4,2)</f>
        <v>77.54</v>
      </c>
      <c r="H4" s="9" t="n">
        <f aca="false">ROUND(G4*'1.Исходные данные'!B6,2)</f>
        <v>581550</v>
      </c>
    </row>
    <row r="5" customFormat="false" ht="15" hidden="false" customHeight="false" outlineLevel="0" collapsed="false">
      <c r="A5" s="3" t="s">
        <v>204</v>
      </c>
      <c r="B5" s="3" t="s">
        <v>207</v>
      </c>
      <c r="C5" s="3" t="s">
        <v>208</v>
      </c>
      <c r="D5" s="3" t="n">
        <v>12</v>
      </c>
      <c r="E5" s="9" t="n">
        <v>57</v>
      </c>
      <c r="F5" s="9" t="n">
        <f aca="false">ROUND(E5/1.22,2)</f>
        <v>46.72</v>
      </c>
      <c r="G5" s="9" t="n">
        <f aca="false">ROUND(D5*F5,2)</f>
        <v>560.64</v>
      </c>
      <c r="H5" s="9" t="n">
        <f aca="false">ROUND(G5*'1.Исходные данные'!B6,2)</f>
        <v>4204800</v>
      </c>
    </row>
    <row r="6" customFormat="false" ht="15" hidden="false" customHeight="false" outlineLevel="0" collapsed="false">
      <c r="A6" s="3" t="s">
        <v>204</v>
      </c>
      <c r="B6" s="3" t="s">
        <v>209</v>
      </c>
      <c r="C6" s="3" t="s">
        <v>208</v>
      </c>
      <c r="D6" s="3" t="n">
        <v>10</v>
      </c>
      <c r="E6" s="9" t="n">
        <v>65</v>
      </c>
      <c r="F6" s="9" t="n">
        <f aca="false">ROUND(E6/1.22,2)</f>
        <v>53.28</v>
      </c>
      <c r="G6" s="9" t="n">
        <f aca="false">ROUND(D6*F6,2)</f>
        <v>532.8</v>
      </c>
      <c r="H6" s="9" t="n">
        <f aca="false">ROUND(G6*'1.Исходные данные'!B6,2)</f>
        <v>3996000</v>
      </c>
    </row>
    <row r="7" customFormat="false" ht="15" hidden="false" customHeight="false" outlineLevel="0" collapsed="false">
      <c r="A7" s="3" t="s">
        <v>204</v>
      </c>
      <c r="B7" s="3" t="s">
        <v>210</v>
      </c>
      <c r="C7" s="3" t="s">
        <v>208</v>
      </c>
      <c r="D7" s="3" t="n">
        <v>15</v>
      </c>
      <c r="E7" s="9" t="n">
        <v>49</v>
      </c>
      <c r="F7" s="9" t="n">
        <f aca="false">ROUND(E7/1.22,2)</f>
        <v>40.16</v>
      </c>
      <c r="G7" s="9" t="n">
        <f aca="false">ROUND(D7*F7,2)</f>
        <v>602.4</v>
      </c>
      <c r="H7" s="9" t="n">
        <f aca="false">ROUND(G7*'1.Исходные данные'!B6,2)</f>
        <v>4518000</v>
      </c>
    </row>
    <row r="8" customFormat="false" ht="61.15" hidden="false" customHeight="false" outlineLevel="0" collapsed="false">
      <c r="A8" s="3"/>
      <c r="B8" s="3" t="s">
        <v>211</v>
      </c>
      <c r="C8" s="3"/>
      <c r="D8" s="3"/>
      <c r="E8" s="9"/>
      <c r="F8" s="9"/>
      <c r="G8" s="9" t="n">
        <f aca="false">SUM(G4:G7)</f>
        <v>1773.38</v>
      </c>
      <c r="H8" s="9" t="n">
        <f aca="false">SUM(H4:H7)</f>
        <v>13300350</v>
      </c>
    </row>
    <row r="9" customFormat="false" ht="15" hidden="false" customHeight="false" outlineLevel="0" collapsed="false">
      <c r="A9" s="3"/>
      <c r="B9" s="3"/>
      <c r="C9" s="3"/>
      <c r="D9" s="3"/>
      <c r="E9" s="9"/>
      <c r="F9" s="9"/>
      <c r="G9" s="9"/>
      <c r="H9" s="9"/>
    </row>
    <row r="10" customFormat="false" ht="15" hidden="false" customHeight="false" outlineLevel="0" collapsed="false">
      <c r="A10" s="3" t="s">
        <v>212</v>
      </c>
      <c r="B10" s="3" t="s">
        <v>213</v>
      </c>
      <c r="C10" s="3" t="s">
        <v>206</v>
      </c>
      <c r="D10" s="3" t="n">
        <v>9.6</v>
      </c>
      <c r="E10" s="9" t="n">
        <v>47</v>
      </c>
      <c r="F10" s="9" t="n">
        <f aca="false">ROUND(E10/1.22,2)</f>
        <v>38.52</v>
      </c>
      <c r="G10" s="9" t="n">
        <f aca="false">ROUND(D10*F10,2)</f>
        <v>369.79</v>
      </c>
      <c r="H10" s="9" t="n">
        <f aca="false">ROUND(G10*'1.Исходные данные'!B8,2)</f>
        <v>1146349</v>
      </c>
    </row>
    <row r="11" customFormat="false" ht="15" hidden="false" customHeight="false" outlineLevel="0" collapsed="false">
      <c r="A11" s="3" t="s">
        <v>212</v>
      </c>
      <c r="B11" s="3" t="s">
        <v>214</v>
      </c>
      <c r="C11" s="3" t="s">
        <v>206</v>
      </c>
      <c r="D11" s="3" t="n">
        <v>4.5</v>
      </c>
      <c r="E11" s="9" t="n">
        <v>50</v>
      </c>
      <c r="F11" s="9" t="n">
        <f aca="false">ROUND(E11/1.22,2)</f>
        <v>40.98</v>
      </c>
      <c r="G11" s="9" t="n">
        <f aca="false">ROUND(D11*F11,2)</f>
        <v>184.41</v>
      </c>
      <c r="H11" s="9" t="n">
        <f aca="false">ROUND(G11*'1.Исходные данные'!B8,2)</f>
        <v>571671</v>
      </c>
    </row>
    <row r="12" customFormat="false" ht="15" hidden="false" customHeight="false" outlineLevel="0" collapsed="false">
      <c r="A12" s="3" t="s">
        <v>212</v>
      </c>
      <c r="B12" s="3" t="s">
        <v>209</v>
      </c>
      <c r="C12" s="3" t="s">
        <v>208</v>
      </c>
      <c r="D12" s="3" t="n">
        <v>8</v>
      </c>
      <c r="E12" s="9" t="n">
        <v>65</v>
      </c>
      <c r="F12" s="9" t="n">
        <f aca="false">ROUND(E12/1.22,2)</f>
        <v>53.28</v>
      </c>
      <c r="G12" s="9" t="n">
        <f aca="false">ROUND(D12*F12,2)</f>
        <v>426.24</v>
      </c>
      <c r="H12" s="9" t="n">
        <f aca="false">ROUND(G12*'1.Исходные данные'!B8,2)</f>
        <v>1321344</v>
      </c>
    </row>
    <row r="13" customFormat="false" ht="15" hidden="false" customHeight="false" outlineLevel="0" collapsed="false">
      <c r="A13" s="3" t="s">
        <v>212</v>
      </c>
      <c r="B13" s="3" t="s">
        <v>210</v>
      </c>
      <c r="C13" s="3" t="s">
        <v>208</v>
      </c>
      <c r="D13" s="3" t="n">
        <v>6</v>
      </c>
      <c r="E13" s="9" t="n">
        <v>49</v>
      </c>
      <c r="F13" s="9" t="n">
        <f aca="false">ROUND(E13/1.22,2)</f>
        <v>40.16</v>
      </c>
      <c r="G13" s="9" t="n">
        <f aca="false">ROUND(D13*F13,2)</f>
        <v>240.96</v>
      </c>
      <c r="H13" s="9" t="n">
        <f aca="false">ROUND(G13*'1.Исходные данные'!B8,2)</f>
        <v>746976</v>
      </c>
    </row>
    <row r="14" customFormat="false" ht="61.15" hidden="false" customHeight="false" outlineLevel="0" collapsed="false">
      <c r="A14" s="3"/>
      <c r="B14" s="3" t="s">
        <v>215</v>
      </c>
      <c r="C14" s="3"/>
      <c r="D14" s="3"/>
      <c r="E14" s="9"/>
      <c r="F14" s="9"/>
      <c r="G14" s="9" t="n">
        <f aca="false">SUM(G10:G13)</f>
        <v>1221.4</v>
      </c>
      <c r="H14" s="9" t="n">
        <f aca="false">SUM(H10:H13)</f>
        <v>3786340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5" min="4" style="0" width="18"/>
  </cols>
  <sheetData>
    <row r="1" customFormat="false" ht="15" hidden="false" customHeight="false" outlineLevel="0" collapsed="false">
      <c r="A1" s="6" t="s">
        <v>216</v>
      </c>
      <c r="B1" s="6"/>
      <c r="C1" s="6"/>
      <c r="D1" s="6"/>
      <c r="E1" s="6"/>
      <c r="F1" s="6"/>
    </row>
    <row r="3" customFormat="false" ht="25.35" hidden="false" customHeight="false" outlineLevel="0" collapsed="false">
      <c r="A3" s="2" t="s">
        <v>217</v>
      </c>
      <c r="B3" s="2" t="s">
        <v>218</v>
      </c>
      <c r="C3" s="2" t="s">
        <v>219</v>
      </c>
      <c r="D3" s="2" t="s">
        <v>220</v>
      </c>
      <c r="E3" s="2" t="s">
        <v>221</v>
      </c>
    </row>
    <row r="4" customFormat="false" ht="15" hidden="false" customHeight="false" outlineLevel="0" collapsed="false">
      <c r="A4" s="3" t="s">
        <v>222</v>
      </c>
      <c r="B4" s="3" t="n">
        <v>7</v>
      </c>
      <c r="C4" s="3" t="n">
        <v>18</v>
      </c>
      <c r="D4" s="9" t="n">
        <f aca="false">'8.КапЗатраты(п.3)'!C15</f>
        <v>463696695</v>
      </c>
      <c r="E4" s="9" t="n">
        <f aca="false">D4/C4</f>
        <v>25760927.5</v>
      </c>
    </row>
    <row r="5" customFormat="false" ht="15" hidden="false" customHeight="false" outlineLevel="0" collapsed="false">
      <c r="A5" s="3" t="s">
        <v>223</v>
      </c>
      <c r="B5" s="3" t="n">
        <v>6</v>
      </c>
      <c r="C5" s="3" t="n">
        <v>12</v>
      </c>
      <c r="D5" s="9" t="n">
        <f aca="false">'8.КапЗатраты(п.3)'!C7</f>
        <v>292604400</v>
      </c>
      <c r="E5" s="9" t="n">
        <f aca="false">D5/C5</f>
        <v>24383700</v>
      </c>
    </row>
    <row r="6" customFormat="false" ht="15" hidden="false" customHeight="false" outlineLevel="0" collapsed="false">
      <c r="A6" s="3" t="s">
        <v>224</v>
      </c>
      <c r="B6" s="3" t="n">
        <v>5</v>
      </c>
      <c r="C6" s="3" t="n">
        <v>8</v>
      </c>
      <c r="D6" s="9" t="n">
        <f aca="false">'8.КапЗатраты(п.3)'!C10</f>
        <v>270930000</v>
      </c>
      <c r="E6" s="9" t="n">
        <f aca="false">D6/C6</f>
        <v>33866250</v>
      </c>
    </row>
    <row r="7" customFormat="false" ht="15" hidden="false" customHeight="false" outlineLevel="0" collapsed="false">
      <c r="A7" s="3" t="s">
        <v>225</v>
      </c>
      <c r="B7" s="3" t="n">
        <v>5</v>
      </c>
      <c r="C7" s="3" t="n">
        <v>8</v>
      </c>
      <c r="D7" s="9" t="n">
        <f aca="false">'8.КапЗатраты(п.3)'!C11</f>
        <v>40639500</v>
      </c>
      <c r="E7" s="9" t="n">
        <f aca="false">D7/C7</f>
        <v>5079937.5</v>
      </c>
    </row>
    <row r="8" customFormat="false" ht="15" hidden="false" customHeight="false" outlineLevel="0" collapsed="false">
      <c r="A8" s="3" t="s">
        <v>226</v>
      </c>
      <c r="B8" s="3" t="n">
        <v>4</v>
      </c>
      <c r="C8" s="3" t="n">
        <v>6</v>
      </c>
      <c r="D8" s="9" t="n">
        <f aca="false">'8.КапЗатраты(п.3)'!C12</f>
        <v>20319750</v>
      </c>
      <c r="E8" s="9" t="n">
        <f aca="false">D8/C8</f>
        <v>3386625</v>
      </c>
    </row>
    <row r="9" customFormat="false" ht="15" hidden="false" customHeight="false" outlineLevel="0" collapsed="false">
      <c r="A9" s="3" t="s">
        <v>227</v>
      </c>
      <c r="B9" s="3" t="n">
        <v>3</v>
      </c>
      <c r="C9" s="3" t="n">
        <v>4</v>
      </c>
      <c r="D9" s="9" t="n">
        <f aca="false">'8.КапЗатраты(п.3)'!C13</f>
        <v>35220900</v>
      </c>
      <c r="E9" s="9" t="n">
        <f aca="false">D9/C9</f>
        <v>8805225</v>
      </c>
    </row>
    <row r="10" customFormat="false" ht="15" hidden="false" customHeight="false" outlineLevel="0" collapsed="false">
      <c r="A10" s="3" t="s">
        <v>228</v>
      </c>
      <c r="B10" s="3" t="n">
        <v>2</v>
      </c>
      <c r="C10" s="3" t="n">
        <v>3</v>
      </c>
      <c r="D10" s="9" t="n">
        <f aca="false">'8.КапЗатраты(п.3)'!C8</f>
        <v>94825500</v>
      </c>
      <c r="E10" s="9" t="n">
        <f aca="false">D10/C10</f>
        <v>31608500</v>
      </c>
    </row>
    <row r="11" customFormat="false" ht="15" hidden="false" customHeight="false" outlineLevel="0" collapsed="false">
      <c r="A11" s="3" t="s">
        <v>229</v>
      </c>
      <c r="B11" s="3" t="n">
        <v>2</v>
      </c>
      <c r="C11" s="3" t="n">
        <v>3</v>
      </c>
      <c r="D11" s="9" t="n">
        <f aca="false">'8.КапЗатраты(п.3)'!C9</f>
        <v>162558000</v>
      </c>
      <c r="E11" s="9" t="n">
        <f aca="false">D11/C11</f>
        <v>54186000</v>
      </c>
    </row>
    <row r="12" customFormat="false" ht="15" hidden="false" customHeight="false" outlineLevel="0" collapsed="false">
      <c r="A12" s="3" t="s">
        <v>230</v>
      </c>
      <c r="B12" s="3" t="n">
        <v>2</v>
      </c>
      <c r="C12" s="3" t="n">
        <v>3</v>
      </c>
      <c r="D12" s="9" t="n">
        <f aca="false">'8.КапЗатраты(п.3)'!C14</f>
        <v>9482550</v>
      </c>
      <c r="E12" s="9" t="n">
        <f aca="false">D12/C12</f>
        <v>3160850</v>
      </c>
    </row>
    <row r="13" customFormat="false" ht="15" hidden="false" customHeight="false" outlineLevel="0" collapsed="false">
      <c r="A13" s="3" t="s">
        <v>231</v>
      </c>
      <c r="B13" s="3"/>
      <c r="C13" s="3"/>
      <c r="D13" s="9"/>
      <c r="E13" s="9" t="n">
        <f aca="false">SUM(E4:E12)</f>
        <v>190238015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6" t="s">
        <v>232</v>
      </c>
      <c r="B1" s="6"/>
      <c r="C1" s="6"/>
    </row>
    <row r="3" customFormat="false" ht="15" hidden="false" customHeight="false" outlineLevel="0" collapsed="false">
      <c r="A3" s="2" t="s">
        <v>26</v>
      </c>
      <c r="B3" s="2" t="s">
        <v>233</v>
      </c>
      <c r="C3" s="2" t="s">
        <v>234</v>
      </c>
    </row>
    <row r="4" customFormat="false" ht="15" hidden="false" customHeight="false" outlineLevel="0" collapsed="false">
      <c r="A4" s="3" t="s">
        <v>235</v>
      </c>
      <c r="B4" s="3" t="s">
        <v>236</v>
      </c>
      <c r="C4" s="9" t="n">
        <f aca="false">'11.Прил5_ФОТ_РукСпецСлуж'!I23+'11.Прил5_ФОТ_РукСпецСлуж'!I24+'11.Прил5_ФОТ_РукСпецСлуж'!I25+'10.Прил4_ФОТ_всп.раб'!I11</f>
        <v>56992623.6915</v>
      </c>
    </row>
    <row r="5" customFormat="false" ht="15" hidden="false" customHeight="false" outlineLevel="0" collapsed="false">
      <c r="A5" s="3" t="s">
        <v>237</v>
      </c>
      <c r="B5" s="3" t="s">
        <v>238</v>
      </c>
      <c r="C5" s="9" t="n">
        <f aca="false">'1.Исходные данные'!B11*C4</f>
        <v>17097787.10745</v>
      </c>
    </row>
    <row r="6" customFormat="false" ht="15" hidden="false" customHeight="false" outlineLevel="0" collapsed="false">
      <c r="A6" s="3" t="s">
        <v>239</v>
      </c>
      <c r="B6" s="3" t="s">
        <v>240</v>
      </c>
      <c r="C6" s="9" t="n">
        <f aca="false">'14.Табл12_Амортизация'!E13</f>
        <v>190238015</v>
      </c>
    </row>
    <row r="7" customFormat="false" ht="15" hidden="false" customHeight="false" outlineLevel="0" collapsed="false">
      <c r="A7" s="3" t="s">
        <v>241</v>
      </c>
      <c r="B7" s="3" t="s">
        <v>242</v>
      </c>
      <c r="C7" s="9" t="n">
        <f aca="false">0.6*C4</f>
        <v>34195574.2149</v>
      </c>
    </row>
    <row r="8" customFormat="false" ht="15" hidden="false" customHeight="false" outlineLevel="0" collapsed="false">
      <c r="A8" s="3" t="s">
        <v>243</v>
      </c>
      <c r="B8" s="3" t="s">
        <v>244</v>
      </c>
      <c r="C8" s="9" t="n">
        <f aca="false">SUM(C4:C7)</f>
        <v>298524000.01385</v>
      </c>
    </row>
    <row r="9" customFormat="false" ht="15" hidden="false" customHeight="false" outlineLevel="0" collapsed="false">
      <c r="A9" s="3" t="s">
        <v>245</v>
      </c>
      <c r="B9" s="3" t="s">
        <v>246</v>
      </c>
      <c r="C9" s="9" t="n">
        <f aca="false">'9.Прил3_ФОТ_осн.раб'!D18+'9.Прил3_ФОТ_осн.раб'!H18</f>
        <v>76729358.7</v>
      </c>
    </row>
    <row r="10" customFormat="false" ht="25.35" hidden="false" customHeight="false" outlineLevel="0" collapsed="false">
      <c r="A10" s="3" t="s">
        <v>247</v>
      </c>
      <c r="B10" s="3" t="s">
        <v>248</v>
      </c>
      <c r="C10" s="9" t="n">
        <f aca="false">ROUNDUP(C8/C9*100,2)</f>
        <v>389.07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6" t="s">
        <v>249</v>
      </c>
      <c r="B1" s="6"/>
      <c r="C1" s="6"/>
      <c r="D1" s="6"/>
      <c r="E1" s="6"/>
      <c r="F1" s="6"/>
    </row>
    <row r="3" customFormat="false" ht="15" hidden="false" customHeight="false" outlineLevel="0" collapsed="false">
      <c r="A3" s="2" t="s">
        <v>26</v>
      </c>
      <c r="B3" s="2" t="s">
        <v>250</v>
      </c>
      <c r="C3" s="2" t="s">
        <v>251</v>
      </c>
      <c r="D3" s="2" t="s">
        <v>252</v>
      </c>
      <c r="E3" s="2" t="s">
        <v>253</v>
      </c>
      <c r="F3" s="2" t="s">
        <v>254</v>
      </c>
    </row>
    <row r="4" customFormat="false" ht="15" hidden="false" customHeight="false" outlineLevel="0" collapsed="false">
      <c r="A4" s="3" t="n">
        <v>1</v>
      </c>
      <c r="B4" s="3" t="s">
        <v>255</v>
      </c>
      <c r="C4" s="9" t="n">
        <f aca="false">'13.Табл10_Материалы'!G8</f>
        <v>1773.38</v>
      </c>
      <c r="D4" s="9" t="n">
        <f aca="false">'13.Табл10_Материалы'!H8</f>
        <v>13300350</v>
      </c>
      <c r="E4" s="9"/>
      <c r="F4" s="9"/>
    </row>
    <row r="5" customFormat="false" ht="15" hidden="false" customHeight="false" outlineLevel="0" collapsed="false">
      <c r="A5" s="3" t="n">
        <v>2</v>
      </c>
      <c r="B5" s="3" t="s">
        <v>256</v>
      </c>
      <c r="C5" s="9" t="n">
        <f aca="false">D5/'1.Исходные данные'!B6</f>
        <v>6584.598</v>
      </c>
      <c r="D5" s="9" t="n">
        <f aca="false">'9.Прил3_ФОТ_осн.раб'!D18</f>
        <v>49384485</v>
      </c>
      <c r="E5" s="9"/>
      <c r="F5" s="9"/>
    </row>
    <row r="6" customFormat="false" ht="15" hidden="false" customHeight="false" outlineLevel="0" collapsed="false">
      <c r="A6" s="3" t="n">
        <v>3</v>
      </c>
      <c r="B6" s="3" t="s">
        <v>257</v>
      </c>
      <c r="C6" s="9" t="n">
        <f aca="false">D6/'1.Исходные данные'!B6</f>
        <v>987.6897</v>
      </c>
      <c r="D6" s="9" t="n">
        <f aca="false">'9.Прил3_ФОТ_осн.раб'!E18</f>
        <v>7407672.75</v>
      </c>
      <c r="E6" s="9"/>
      <c r="F6" s="9"/>
    </row>
    <row r="7" customFormat="false" ht="15" hidden="false" customHeight="false" outlineLevel="0" collapsed="false">
      <c r="A7" s="3" t="n">
        <v>4</v>
      </c>
      <c r="B7" s="3" t="s">
        <v>258</v>
      </c>
      <c r="C7" s="9" t="n">
        <f aca="false">D7/'1.Исходные данные'!B6</f>
        <v>2271.68631</v>
      </c>
      <c r="D7" s="9" t="n">
        <f aca="false">'1.Исходные данные'!B11*(D5+D6)</f>
        <v>17037647.325</v>
      </c>
      <c r="E7" s="9"/>
      <c r="F7" s="9"/>
    </row>
    <row r="8" customFormat="false" ht="15" hidden="false" customHeight="false" outlineLevel="0" collapsed="false">
      <c r="A8" s="3" t="n">
        <v>5</v>
      </c>
      <c r="B8" s="3" t="s">
        <v>259</v>
      </c>
      <c r="C8" s="9" t="n">
        <f aca="false">D8/'1.Исходные данные'!B6</f>
        <v>25618.6954386</v>
      </c>
      <c r="D8" s="9" t="n">
        <f aca="false">'15.Табл11_Накладные'!C10/100*D5</f>
        <v>192140215.7895</v>
      </c>
      <c r="E8" s="9"/>
      <c r="F8" s="9"/>
    </row>
    <row r="9" customFormat="false" ht="25.35" hidden="false" customHeight="false" outlineLevel="0" collapsed="false">
      <c r="A9" s="3" t="n">
        <v>6</v>
      </c>
      <c r="B9" s="3" t="s">
        <v>260</v>
      </c>
      <c r="C9" s="9" t="n">
        <f aca="false">D9/'1.Исходные данные'!B6</f>
        <v>37236.0494486</v>
      </c>
      <c r="D9" s="9" t="n">
        <f aca="false">SUM(D4:D8)</f>
        <v>279270370.8645</v>
      </c>
      <c r="E9" s="9"/>
      <c r="F9" s="9"/>
    </row>
    <row r="10" customFormat="false" ht="15" hidden="false" customHeight="false" outlineLevel="0" collapsed="false">
      <c r="A10" s="3" t="n">
        <v>7</v>
      </c>
      <c r="B10" s="3" t="s">
        <v>261</v>
      </c>
      <c r="C10" s="9" t="n">
        <f aca="false">D10/'1.Исходные данные'!B6</f>
        <v>5585.40741729</v>
      </c>
      <c r="D10" s="9" t="n">
        <f aca="false">'1.Исходные данные'!B17*D9</f>
        <v>41890555.629675</v>
      </c>
      <c r="E10" s="9"/>
      <c r="F10" s="9"/>
    </row>
    <row r="11" customFormat="false" ht="15" hidden="false" customHeight="false" outlineLevel="0" collapsed="false">
      <c r="A11" s="3" t="n">
        <v>8</v>
      </c>
      <c r="B11" s="3" t="s">
        <v>262</v>
      </c>
      <c r="C11" s="9" t="n">
        <f aca="false">D11/'1.Исходные данные'!B6</f>
        <v>42821.45686589</v>
      </c>
      <c r="D11" s="9" t="n">
        <f aca="false">D9+D10</f>
        <v>321160926.494175</v>
      </c>
      <c r="E11" s="9"/>
      <c r="F11" s="9"/>
    </row>
    <row r="12" customFormat="false" ht="15" hidden="false" customHeight="false" outlineLevel="0" collapsed="false">
      <c r="A12" s="3"/>
      <c r="B12" s="3"/>
      <c r="C12" s="9"/>
      <c r="D12" s="9"/>
      <c r="E12" s="9"/>
      <c r="F12" s="9"/>
    </row>
    <row r="13" customFormat="false" ht="15" hidden="false" customHeight="false" outlineLevel="0" collapsed="false">
      <c r="A13" s="3" t="n">
        <v>1</v>
      </c>
      <c r="B13" s="3" t="s">
        <v>255</v>
      </c>
      <c r="C13" s="9"/>
      <c r="D13" s="9"/>
      <c r="E13" s="9" t="n">
        <f aca="false">'13.Табл10_Материалы'!G14</f>
        <v>1221.4</v>
      </c>
      <c r="F13" s="9" t="n">
        <f aca="false">'13.Табл10_Материалы'!H14</f>
        <v>3786340</v>
      </c>
    </row>
    <row r="14" customFormat="false" ht="15" hidden="false" customHeight="false" outlineLevel="0" collapsed="false">
      <c r="A14" s="3" t="n">
        <v>2</v>
      </c>
      <c r="B14" s="3" t="s">
        <v>256</v>
      </c>
      <c r="C14" s="9"/>
      <c r="D14" s="9"/>
      <c r="E14" s="9" t="n">
        <f aca="false">F14/'1.Исходные данные'!B8</f>
        <v>8820.927</v>
      </c>
      <c r="F14" s="9" t="n">
        <f aca="false">'9.Прил3_ФОТ_осн.раб'!H18</f>
        <v>27344873.7</v>
      </c>
    </row>
    <row r="15" customFormat="false" ht="15" hidden="false" customHeight="false" outlineLevel="0" collapsed="false">
      <c r="A15" s="3" t="n">
        <v>3</v>
      </c>
      <c r="B15" s="3" t="s">
        <v>257</v>
      </c>
      <c r="C15" s="9"/>
      <c r="D15" s="9"/>
      <c r="E15" s="9" t="n">
        <f aca="false">F15/'1.Исходные данные'!B8</f>
        <v>1323.13905</v>
      </c>
      <c r="F15" s="9" t="n">
        <f aca="false">'9.Прил3_ФОТ_осн.раб'!I18</f>
        <v>4101731.055</v>
      </c>
    </row>
    <row r="16" customFormat="false" ht="15" hidden="false" customHeight="false" outlineLevel="0" collapsed="false">
      <c r="A16" s="3" t="n">
        <v>4</v>
      </c>
      <c r="B16" s="3" t="s">
        <v>258</v>
      </c>
      <c r="C16" s="9"/>
      <c r="D16" s="9"/>
      <c r="E16" s="9" t="n">
        <f aca="false">F16/'1.Исходные данные'!B8</f>
        <v>3043.219815</v>
      </c>
      <c r="F16" s="9" t="n">
        <f aca="false">'1.Исходные данные'!B11*(F14+F15)</f>
        <v>9433981.4265</v>
      </c>
    </row>
    <row r="17" customFormat="false" ht="15" hidden="false" customHeight="false" outlineLevel="0" collapsed="false">
      <c r="A17" s="3" t="n">
        <v>5</v>
      </c>
      <c r="B17" s="3" t="s">
        <v>259</v>
      </c>
      <c r="C17" s="9"/>
      <c r="D17" s="9"/>
      <c r="E17" s="9" t="n">
        <f aca="false">F17/'1.Исходные данные'!B8</f>
        <v>34319.5806789</v>
      </c>
      <c r="F17" s="9" t="n">
        <f aca="false">'15.Табл11_Накладные'!C10/100*F14</f>
        <v>106390700.10459</v>
      </c>
    </row>
    <row r="18" customFormat="false" ht="25.35" hidden="false" customHeight="false" outlineLevel="0" collapsed="false">
      <c r="A18" s="3" t="n">
        <v>6</v>
      </c>
      <c r="B18" s="3" t="s">
        <v>260</v>
      </c>
      <c r="C18" s="9"/>
      <c r="D18" s="9"/>
      <c r="E18" s="9" t="n">
        <f aca="false">F18/'1.Исходные данные'!B8</f>
        <v>48728.2665439</v>
      </c>
      <c r="F18" s="9" t="n">
        <f aca="false">SUM(F13:F17)</f>
        <v>151057626.28609</v>
      </c>
    </row>
    <row r="19" customFormat="false" ht="15" hidden="false" customHeight="false" outlineLevel="0" collapsed="false">
      <c r="A19" s="3" t="n">
        <v>7</v>
      </c>
      <c r="B19" s="3" t="s">
        <v>261</v>
      </c>
      <c r="C19" s="9"/>
      <c r="D19" s="9"/>
      <c r="E19" s="9" t="n">
        <f aca="false">F19/'1.Исходные данные'!B8</f>
        <v>7309.239981585</v>
      </c>
      <c r="F19" s="9" t="n">
        <f aca="false">'1.Исходные данные'!B17*F18</f>
        <v>22658643.9429135</v>
      </c>
    </row>
    <row r="20" customFormat="false" ht="15" hidden="false" customHeight="false" outlineLevel="0" collapsed="false">
      <c r="A20" s="3" t="n">
        <v>8</v>
      </c>
      <c r="B20" s="3" t="s">
        <v>262</v>
      </c>
      <c r="C20" s="9"/>
      <c r="D20" s="9"/>
      <c r="E20" s="9" t="n">
        <f aca="false">F20/'1.Исходные данные'!B8</f>
        <v>56037.506525485</v>
      </c>
      <c r="F20" s="9" t="n">
        <f aca="false">F18+F19</f>
        <v>173716270.229004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8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6" t="s">
        <v>263</v>
      </c>
      <c r="B1" s="6"/>
      <c r="C1" s="6"/>
      <c r="D1" s="6"/>
    </row>
    <row r="3" customFormat="false" ht="15" hidden="false" customHeight="false" outlineLevel="0" collapsed="false">
      <c r="A3" s="11" t="s">
        <v>264</v>
      </c>
      <c r="B3" s="11" t="s">
        <v>265</v>
      </c>
      <c r="C3" s="11" t="s">
        <v>266</v>
      </c>
      <c r="D3" s="3"/>
    </row>
    <row r="4" customFormat="false" ht="15" hidden="false" customHeight="false" outlineLevel="0" collapsed="false">
      <c r="A4" s="3" t="s">
        <v>267</v>
      </c>
      <c r="B4" s="9" t="n">
        <f aca="false">ROUND('1.Исходные данные'!B6*'1.Исходные данные'!B7/365,0)</f>
        <v>3699</v>
      </c>
      <c r="C4" s="9" t="n">
        <f aca="false">ROUND('1.Исходные данные'!B8*'1.Исходные данные'!B9/365,0)</f>
        <v>1529</v>
      </c>
      <c r="D4" s="9"/>
    </row>
    <row r="5" customFormat="false" ht="15" hidden="false" customHeight="false" outlineLevel="0" collapsed="false">
      <c r="A5" s="3" t="s">
        <v>268</v>
      </c>
      <c r="B5" s="9" t="n">
        <f aca="false">'16.Табл13_Себестоимость'!D8+'16.Табл13_Себестоимость'!D10</f>
        <v>234030771.419175</v>
      </c>
      <c r="C5" s="9" t="n">
        <f aca="false">'16.Табл13_Себестоимость'!F17+'16.Табл13_Себестоимость'!F19</f>
        <v>129049344.047504</v>
      </c>
      <c r="D5" s="9"/>
    </row>
    <row r="6" customFormat="false" ht="25.35" hidden="false" customHeight="false" outlineLevel="0" collapsed="false">
      <c r="A6" s="3" t="s">
        <v>269</v>
      </c>
      <c r="B6" s="9" t="n">
        <f aca="false">'16.Табл13_Себестоимость'!C4+'16.Табл13_Себестоимость'!C5+'16.Табл13_Себестоимость'!C6+'16.Табл13_Себестоимость'!C7</f>
        <v>11617.35401</v>
      </c>
      <c r="C6" s="9" t="n">
        <f aca="false">'16.Табл13_Себестоимость'!E13+'16.Табл13_Себестоимость'!E14+'16.Табл13_Себестоимость'!E15+'16.Табл13_Себестоимость'!E16</f>
        <v>14408.685865</v>
      </c>
      <c r="D6" s="9"/>
    </row>
    <row r="7" customFormat="false" ht="15" hidden="false" customHeight="false" outlineLevel="0" collapsed="false">
      <c r="A7" s="3" t="s">
        <v>270</v>
      </c>
      <c r="B7" s="9" t="n">
        <f aca="false">ROUND('17.Цена_ФинРезультаты'!B5/'17.Цена_ФинРезультаты'!B4+'17.Цена_ФинРезультаты'!B6,2)</f>
        <v>74886.01</v>
      </c>
      <c r="C7" s="9" t="n">
        <f aca="false">ROUND('17.Цена_ФинРезультаты'!C5/'17.Цена_ФинРезультаты'!C4+'17.Цена_ФинРезультаты'!C6,2)</f>
        <v>98809.83</v>
      </c>
      <c r="D7" s="9"/>
    </row>
    <row r="8" customFormat="false" ht="25.35" hidden="false" customHeight="false" outlineLevel="0" collapsed="false">
      <c r="A8" s="3" t="s">
        <v>271</v>
      </c>
      <c r="B8" s="9" t="n">
        <f aca="false">('17.Цена_ФинРезультаты'!B5+'17.Цена_ФинРезультаты'!B6*'17.Цена_ФинРезультаты'!B4) - ('17.Цена_ФинРезультаты'!B7*'17.Цена_ФинРезультаты'!B4)</f>
        <v>12.9121649861336</v>
      </c>
      <c r="C8" s="9" t="n">
        <f aca="false">('17.Цена_ФинРезультаты'!C5+'17.Цена_ФинРезультаты'!C6*'17.Цена_ФинРезультаты'!C4) - ('17.Цена_ФинРезультаты'!C7*'17.Цена_ФинРезультаты'!C4)</f>
        <v>-5.33491146564484</v>
      </c>
      <c r="D8" s="9"/>
    </row>
    <row r="9" customFormat="false" ht="15" hidden="false" customHeight="false" outlineLevel="0" collapsed="false">
      <c r="A9" s="3"/>
      <c r="B9" s="9"/>
      <c r="C9" s="9"/>
      <c r="D9" s="9"/>
    </row>
    <row r="10" customFormat="false" ht="15" hidden="false" customHeight="false" outlineLevel="0" collapsed="false">
      <c r="A10" s="3" t="s">
        <v>272</v>
      </c>
      <c r="B10" s="9"/>
      <c r="C10" s="9"/>
      <c r="D10" s="9"/>
    </row>
    <row r="11" customFormat="false" ht="15" hidden="false" customHeight="false" outlineLevel="0" collapsed="false">
      <c r="A11" s="11" t="s">
        <v>264</v>
      </c>
      <c r="B11" s="12" t="s">
        <v>204</v>
      </c>
      <c r="C11" s="12" t="s">
        <v>212</v>
      </c>
      <c r="D11" s="12" t="s">
        <v>273</v>
      </c>
    </row>
    <row r="12" customFormat="false" ht="15" hidden="false" customHeight="false" outlineLevel="0" collapsed="false">
      <c r="A12" s="3" t="s">
        <v>274</v>
      </c>
      <c r="B12" s="9" t="n">
        <f aca="false">'17.Цена_ФинРезультаты'!B7*'1.Исходные данные'!B6</f>
        <v>561645075</v>
      </c>
      <c r="C12" s="9" t="n">
        <f aca="false">'17.Цена_ФинРезультаты'!C7*'1.Исходные данные'!B8</f>
        <v>306310473</v>
      </c>
      <c r="D12" s="9" t="n">
        <f aca="false">B12+C12</f>
        <v>867955548</v>
      </c>
    </row>
    <row r="13" customFormat="false" ht="15" hidden="false" customHeight="false" outlineLevel="0" collapsed="false">
      <c r="A13" s="3" t="s">
        <v>275</v>
      </c>
      <c r="B13" s="9" t="n">
        <f aca="false">'17.Цена_ФинРезультаты'!B6*'1.Исходные данные'!B6</f>
        <v>87130155.075</v>
      </c>
      <c r="C13" s="9" t="n">
        <f aca="false">'17.Цена_ФинРезультаты'!C6*'1.Исходные данные'!B8</f>
        <v>44666926.1815</v>
      </c>
      <c r="D13" s="9" t="n">
        <f aca="false">B13+C13</f>
        <v>131797081.2565</v>
      </c>
    </row>
    <row r="14" customFormat="false" ht="15" hidden="false" customHeight="false" outlineLevel="0" collapsed="false">
      <c r="A14" s="3" t="s">
        <v>276</v>
      </c>
      <c r="B14" s="9" t="n">
        <f aca="false">B12-B13</f>
        <v>474514919.925</v>
      </c>
      <c r="C14" s="9" t="n">
        <f aca="false">C12-C13</f>
        <v>261643546.8185</v>
      </c>
      <c r="D14" s="9" t="n">
        <f aca="false">B14+C14</f>
        <v>736158466.7435</v>
      </c>
    </row>
    <row r="15" customFormat="false" ht="15" hidden="false" customHeight="false" outlineLevel="0" collapsed="false">
      <c r="A15" s="3" t="s">
        <v>277</v>
      </c>
      <c r="B15" s="9" t="n">
        <f aca="false">'17.Цена_ФинРезультаты'!B5</f>
        <v>234030771.419175</v>
      </c>
      <c r="C15" s="9" t="n">
        <f aca="false">'17.Цена_ФинРезультаты'!C5</f>
        <v>129049344.047504</v>
      </c>
      <c r="D15" s="9" t="n">
        <f aca="false">B15+C15</f>
        <v>363080115.466679</v>
      </c>
    </row>
    <row r="16" customFormat="false" ht="15" hidden="false" customHeight="false" outlineLevel="0" collapsed="false">
      <c r="A16" s="3" t="s">
        <v>278</v>
      </c>
      <c r="B16" s="9" t="n">
        <f aca="false">B14-B15</f>
        <v>240484148.505825</v>
      </c>
      <c r="C16" s="9" t="n">
        <f aca="false">C14-C15</f>
        <v>132594202.770996</v>
      </c>
      <c r="D16" s="9" t="n">
        <f aca="false">B16+C16</f>
        <v>373078351.276822</v>
      </c>
    </row>
    <row r="17" customFormat="false" ht="15" hidden="false" customHeight="false" outlineLevel="0" collapsed="false">
      <c r="A17" s="3" t="s">
        <v>279</v>
      </c>
      <c r="B17" s="9" t="n">
        <f aca="false">'1.Исходные данные'!B12*B16</f>
        <v>60121037.1264563</v>
      </c>
      <c r="C17" s="9" t="n">
        <f aca="false">'1.Исходные данные'!B12*C16</f>
        <v>33148550.6927491</v>
      </c>
      <c r="D17" s="9" t="n">
        <f aca="false">B17+C17</f>
        <v>93269587.8192054</v>
      </c>
    </row>
    <row r="18" customFormat="false" ht="15" hidden="false" customHeight="false" outlineLevel="0" collapsed="false">
      <c r="A18" s="3" t="s">
        <v>280</v>
      </c>
      <c r="B18" s="9" t="n">
        <f aca="false">B16-B17</f>
        <v>180363111.379369</v>
      </c>
      <c r="C18" s="9" t="n">
        <f aca="false">C16-C17</f>
        <v>99445652.0782474</v>
      </c>
      <c r="D18" s="9" t="n">
        <f aca="false">B18+C18</f>
        <v>279808763.457616</v>
      </c>
    </row>
    <row r="19" customFormat="false" ht="25.35" hidden="false" customHeight="false" outlineLevel="0" collapsed="false">
      <c r="A19" s="3" t="s">
        <v>281</v>
      </c>
      <c r="B19" s="9" t="n">
        <f aca="false">ROUND(B16/(B15+B13)*100,3)</f>
        <v>74.88</v>
      </c>
      <c r="C19" s="9" t="n">
        <f aca="false">ROUND(C16/(C15+C13)*100,3)</f>
        <v>76.328</v>
      </c>
      <c r="D19" s="9" t="n">
        <f aca="false">ROUND(D16/(D15+D13)*100,3)</f>
        <v>75.388</v>
      </c>
    </row>
    <row r="20" customFormat="false" ht="25.35" hidden="false" customHeight="false" outlineLevel="0" collapsed="false">
      <c r="A20" s="3" t="s">
        <v>282</v>
      </c>
      <c r="B20" s="9" t="n">
        <f aca="false">ROUND(B16/B12*100,3)</f>
        <v>42.818</v>
      </c>
      <c r="C20" s="9" t="n">
        <f aca="false">ROUND(C16/C12*100,3)</f>
        <v>43.288</v>
      </c>
      <c r="D20" s="9" t="n">
        <f aca="false">ROUND(D16/D12*100,3)</f>
        <v>42.984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6" min="4" style="0" width="16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6" t="s">
        <v>283</v>
      </c>
      <c r="B1" s="6"/>
      <c r="C1" s="6"/>
      <c r="D1" s="6"/>
      <c r="E1" s="6"/>
      <c r="F1" s="6"/>
      <c r="G1" s="6"/>
      <c r="H1" s="6"/>
    </row>
    <row r="3" customFormat="false" ht="25.35" hidden="false" customHeight="false" outlineLevel="0" collapsed="false">
      <c r="A3" s="2" t="s">
        <v>197</v>
      </c>
      <c r="B3" s="2" t="s">
        <v>284</v>
      </c>
      <c r="C3" s="2" t="s">
        <v>285</v>
      </c>
      <c r="D3" s="2" t="s">
        <v>286</v>
      </c>
      <c r="E3" s="2" t="s">
        <v>287</v>
      </c>
      <c r="F3" s="2" t="s">
        <v>288</v>
      </c>
      <c r="G3" s="2" t="s">
        <v>289</v>
      </c>
      <c r="H3" s="2" t="s">
        <v>290</v>
      </c>
    </row>
    <row r="4" customFormat="false" ht="15" hidden="false" customHeight="false" outlineLevel="0" collapsed="false">
      <c r="A4" s="3" t="s">
        <v>204</v>
      </c>
      <c r="B4" s="3" t="s">
        <v>291</v>
      </c>
      <c r="C4" s="9" t="n">
        <f aca="false">'17.Цена_ФинРезультаты'!B6</f>
        <v>11617.35401</v>
      </c>
      <c r="D4" s="9" t="n">
        <f aca="false">C4*(0)</f>
        <v>0</v>
      </c>
      <c r="E4" s="9" t="n">
        <f aca="false">'17.Цена_ФинРезультаты'!B5</f>
        <v>234030771.419175</v>
      </c>
      <c r="F4" s="9" t="n">
        <f aca="false">D4+E4</f>
        <v>234030771.419175</v>
      </c>
      <c r="G4" s="9" t="n">
        <f aca="false">'17.Цена_ФинРезультаты'!B7</f>
        <v>74886.01</v>
      </c>
      <c r="H4" s="9" t="n">
        <f aca="false">G4*(0)</f>
        <v>0</v>
      </c>
    </row>
    <row r="5" customFormat="false" ht="15" hidden="false" customHeight="false" outlineLevel="0" collapsed="false">
      <c r="A5" s="3" t="s">
        <v>204</v>
      </c>
      <c r="B5" s="3" t="s">
        <v>292</v>
      </c>
      <c r="C5" s="9" t="n">
        <f aca="false">'17.Цена_ФинРезультаты'!B6</f>
        <v>11617.35401</v>
      </c>
      <c r="D5" s="9" t="n">
        <f aca="false">C5*('17.Цена_ФинРезультаты'!B4)</f>
        <v>42972592.48299</v>
      </c>
      <c r="E5" s="9" t="n">
        <f aca="false">'17.Цена_ФинРезультаты'!B5</f>
        <v>234030771.419175</v>
      </c>
      <c r="F5" s="9" t="n">
        <f aca="false">D5+E5</f>
        <v>277003363.902165</v>
      </c>
      <c r="G5" s="9" t="n">
        <f aca="false">'17.Цена_ФинРезультаты'!B7</f>
        <v>74886.01</v>
      </c>
      <c r="H5" s="9" t="n">
        <f aca="false">G5*('17.Цена_ФинРезультаты'!B4)</f>
        <v>277003350.99</v>
      </c>
    </row>
    <row r="6" customFormat="false" ht="15" hidden="false" customHeight="false" outlineLevel="0" collapsed="false">
      <c r="A6" s="3" t="s">
        <v>204</v>
      </c>
      <c r="B6" s="3" t="s">
        <v>293</v>
      </c>
      <c r="C6" s="9" t="n">
        <f aca="false">'17.Цена_ФинРезультаты'!B6</f>
        <v>11617.35401</v>
      </c>
      <c r="D6" s="9" t="n">
        <f aca="false">C6*('1.Исходные данные'!B6)</f>
        <v>87130155.075</v>
      </c>
      <c r="E6" s="9" t="n">
        <f aca="false">'17.Цена_ФинРезультаты'!B5</f>
        <v>234030771.419175</v>
      </c>
      <c r="F6" s="9" t="n">
        <f aca="false">D6+E6</f>
        <v>321160926.494175</v>
      </c>
      <c r="G6" s="9" t="n">
        <f aca="false">'17.Цена_ФинРезультаты'!B7</f>
        <v>74886.01</v>
      </c>
      <c r="H6" s="9" t="n">
        <f aca="false">G6*('1.Исходные данные'!B6)</f>
        <v>561645075</v>
      </c>
    </row>
    <row r="7" customFormat="false" ht="15" hidden="false" customHeight="false" outlineLevel="0" collapsed="false">
      <c r="A7" s="3" t="s">
        <v>212</v>
      </c>
      <c r="B7" s="3" t="s">
        <v>291</v>
      </c>
      <c r="C7" s="9" t="n">
        <f aca="false">'17.Цена_ФинРезультаты'!C6</f>
        <v>14408.685865</v>
      </c>
      <c r="D7" s="9" t="n">
        <f aca="false">C7*(0)</f>
        <v>0</v>
      </c>
      <c r="E7" s="9" t="n">
        <f aca="false">'17.Цена_ФинРезультаты'!C5</f>
        <v>129049344.047504</v>
      </c>
      <c r="F7" s="9" t="n">
        <f aca="false">D7+E7</f>
        <v>129049344.047504</v>
      </c>
      <c r="G7" s="9" t="n">
        <f aca="false">'17.Цена_ФинРезультаты'!C7</f>
        <v>98809.83</v>
      </c>
      <c r="H7" s="9" t="n">
        <f aca="false">G7*(0)</f>
        <v>0</v>
      </c>
    </row>
    <row r="8" customFormat="false" ht="15" hidden="false" customHeight="false" outlineLevel="0" collapsed="false">
      <c r="A8" s="3" t="s">
        <v>212</v>
      </c>
      <c r="B8" s="3" t="s">
        <v>294</v>
      </c>
      <c r="C8" s="9" t="n">
        <f aca="false">'17.Цена_ФинРезультаты'!C6</f>
        <v>14408.685865</v>
      </c>
      <c r="D8" s="9" t="n">
        <f aca="false">C8*('17.Цена_ФинРезультаты'!C4)</f>
        <v>22030880.687585</v>
      </c>
      <c r="E8" s="9" t="n">
        <f aca="false">'17.Цена_ФинРезультаты'!C5</f>
        <v>129049344.047504</v>
      </c>
      <c r="F8" s="9" t="n">
        <f aca="false">D8+E8</f>
        <v>151080224.735089</v>
      </c>
      <c r="G8" s="9" t="n">
        <f aca="false">'17.Цена_ФинРезультаты'!C7</f>
        <v>98809.83</v>
      </c>
      <c r="H8" s="9" t="n">
        <f aca="false">G8*('17.Цена_ФинРезультаты'!C4)</f>
        <v>151080230.07</v>
      </c>
    </row>
    <row r="9" customFormat="false" ht="15" hidden="false" customHeight="false" outlineLevel="0" collapsed="false">
      <c r="A9" s="3" t="s">
        <v>212</v>
      </c>
      <c r="B9" s="3" t="s">
        <v>295</v>
      </c>
      <c r="C9" s="9" t="n">
        <f aca="false">'17.Цена_ФинРезультаты'!C6</f>
        <v>14408.685865</v>
      </c>
      <c r="D9" s="9" t="n">
        <f aca="false">C9*('1.Исходные данные'!B8)</f>
        <v>44666926.1815</v>
      </c>
      <c r="E9" s="9" t="n">
        <f aca="false">'17.Цена_ФинРезультаты'!C5</f>
        <v>129049344.047504</v>
      </c>
      <c r="F9" s="9" t="n">
        <f aca="false">D9+E9</f>
        <v>173716270.229004</v>
      </c>
      <c r="G9" s="9" t="n">
        <f aca="false">'17.Цена_ФинРезультаты'!C7</f>
        <v>98809.83</v>
      </c>
      <c r="H9" s="9" t="n">
        <f aca="false">G9*('1.Исходные данные'!B8)</f>
        <v>306310473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8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6" t="s">
        <v>296</v>
      </c>
      <c r="B1" s="6"/>
      <c r="C1" s="6"/>
      <c r="D1" s="6"/>
    </row>
    <row r="3" customFormat="false" ht="15" hidden="false" customHeight="false" outlineLevel="0" collapsed="false">
      <c r="A3" s="2" t="s">
        <v>26</v>
      </c>
      <c r="B3" s="2" t="s">
        <v>297</v>
      </c>
      <c r="C3" s="2" t="s">
        <v>42</v>
      </c>
      <c r="D3" s="2" t="s">
        <v>298</v>
      </c>
    </row>
    <row r="4" customFormat="false" ht="15" hidden="false" customHeight="false" outlineLevel="0" collapsed="false">
      <c r="A4" s="3" t="s">
        <v>235</v>
      </c>
      <c r="B4" s="3" t="s">
        <v>299</v>
      </c>
      <c r="C4" s="3" t="s">
        <v>300</v>
      </c>
      <c r="D4" s="9" t="n">
        <f aca="false">'8.КапЗатраты(п.3)'!C17</f>
        <v>1390656597</v>
      </c>
    </row>
    <row r="5" customFormat="false" ht="15" hidden="false" customHeight="false" outlineLevel="0" collapsed="false">
      <c r="A5" s="3" t="s">
        <v>237</v>
      </c>
      <c r="B5" s="3" t="s">
        <v>301</v>
      </c>
      <c r="C5" s="3" t="s">
        <v>302</v>
      </c>
      <c r="D5" s="9" t="n">
        <f aca="false">'4.Табл5_ОборудПлощади'!B14</f>
        <v>1141</v>
      </c>
    </row>
    <row r="6" customFormat="false" ht="15" hidden="false" customHeight="false" outlineLevel="0" collapsed="false">
      <c r="A6" s="3" t="s">
        <v>239</v>
      </c>
      <c r="B6" s="3" t="s">
        <v>303</v>
      </c>
      <c r="C6" s="3" t="s">
        <v>304</v>
      </c>
      <c r="D6" s="9" t="n">
        <f aca="false">'5.Численность персонала'!B26</f>
        <v>143</v>
      </c>
    </row>
    <row r="7" customFormat="false" ht="15" hidden="false" customHeight="false" outlineLevel="0" collapsed="false">
      <c r="A7" s="3" t="s">
        <v>305</v>
      </c>
      <c r="B7" s="3" t="s">
        <v>306</v>
      </c>
      <c r="C7" s="3" t="s">
        <v>304</v>
      </c>
      <c r="D7" s="9" t="n">
        <f aca="false">'5.Численность персонала'!B22</f>
        <v>116</v>
      </c>
    </row>
    <row r="8" customFormat="false" ht="15" hidden="false" customHeight="false" outlineLevel="0" collapsed="false">
      <c r="A8" s="3" t="s">
        <v>307</v>
      </c>
      <c r="B8" s="3" t="s">
        <v>308</v>
      </c>
      <c r="C8" s="3" t="s">
        <v>304</v>
      </c>
      <c r="D8" s="9" t="n">
        <f aca="false">'5.Численность персонала'!B25</f>
        <v>3</v>
      </c>
    </row>
    <row r="9" customFormat="false" ht="15" hidden="false" customHeight="false" outlineLevel="0" collapsed="false">
      <c r="A9" s="3" t="s">
        <v>309</v>
      </c>
      <c r="B9" s="3" t="s">
        <v>310</v>
      </c>
      <c r="C9" s="3" t="s">
        <v>304</v>
      </c>
      <c r="D9" s="9" t="n">
        <f aca="false">'5.Численность персонала'!B23</f>
        <v>10</v>
      </c>
    </row>
    <row r="10" customFormat="false" ht="15" hidden="false" customHeight="false" outlineLevel="0" collapsed="false">
      <c r="A10" s="3" t="s">
        <v>311</v>
      </c>
      <c r="B10" s="3" t="s">
        <v>312</v>
      </c>
      <c r="C10" s="3" t="s">
        <v>304</v>
      </c>
      <c r="D10" s="9" t="n">
        <f aca="false">'5.Численность персонала'!B24</f>
        <v>14</v>
      </c>
    </row>
    <row r="11" customFormat="false" ht="15" hidden="false" customHeight="false" outlineLevel="0" collapsed="false">
      <c r="A11" s="3" t="s">
        <v>241</v>
      </c>
      <c r="B11" s="3" t="s">
        <v>166</v>
      </c>
      <c r="C11" s="3" t="s">
        <v>300</v>
      </c>
      <c r="D11" s="9" t="n">
        <f aca="false">'12.Прил6_СредняяЗП'!B10</f>
        <v>145231386.1965</v>
      </c>
    </row>
    <row r="12" customFormat="false" ht="15" hidden="false" customHeight="false" outlineLevel="0" collapsed="false">
      <c r="A12" s="3" t="s">
        <v>313</v>
      </c>
      <c r="B12" s="3" t="s">
        <v>314</v>
      </c>
      <c r="C12" s="3" t="s">
        <v>300</v>
      </c>
      <c r="D12" s="9" t="n">
        <f aca="false">'16.Табл13_Себестоимость'!C11</f>
        <v>42821.45686589</v>
      </c>
    </row>
    <row r="13" customFormat="false" ht="15" hidden="false" customHeight="false" outlineLevel="0" collapsed="false">
      <c r="A13" s="3" t="s">
        <v>315</v>
      </c>
      <c r="B13" s="3" t="s">
        <v>316</v>
      </c>
      <c r="C13" s="3" t="s">
        <v>300</v>
      </c>
      <c r="D13" s="9" t="n">
        <f aca="false">'16.Табл13_Себестоимость'!E20</f>
        <v>56037.506525485</v>
      </c>
    </row>
    <row r="14" customFormat="false" ht="15" hidden="false" customHeight="false" outlineLevel="0" collapsed="false">
      <c r="A14" s="3" t="s">
        <v>317</v>
      </c>
      <c r="B14" s="3" t="s">
        <v>318</v>
      </c>
      <c r="C14" s="3" t="s">
        <v>300</v>
      </c>
      <c r="D14" s="9" t="n">
        <f aca="false">'17.Цена_ФинРезультаты'!B7</f>
        <v>74886.01</v>
      </c>
    </row>
    <row r="15" customFormat="false" ht="15" hidden="false" customHeight="false" outlineLevel="0" collapsed="false">
      <c r="A15" s="3" t="s">
        <v>319</v>
      </c>
      <c r="B15" s="3" t="s">
        <v>320</v>
      </c>
      <c r="C15" s="3" t="s">
        <v>300</v>
      </c>
      <c r="D15" s="9" t="n">
        <f aca="false">'17.Цена_ФинРезультаты'!C7</f>
        <v>98809.83</v>
      </c>
    </row>
    <row r="16" customFormat="false" ht="15" hidden="false" customHeight="false" outlineLevel="0" collapsed="false">
      <c r="A16" s="3" t="s">
        <v>247</v>
      </c>
      <c r="B16" s="3" t="s">
        <v>321</v>
      </c>
      <c r="C16" s="3" t="s">
        <v>300</v>
      </c>
      <c r="D16" s="9" t="n">
        <f aca="false">'17.Цена_ФинРезультаты'!D12</f>
        <v>867955548</v>
      </c>
    </row>
    <row r="17" customFormat="false" ht="15" hidden="false" customHeight="false" outlineLevel="0" collapsed="false">
      <c r="A17" s="3" t="s">
        <v>322</v>
      </c>
      <c r="B17" s="3" t="s">
        <v>323</v>
      </c>
      <c r="C17" s="3" t="s">
        <v>300</v>
      </c>
      <c r="D17" s="9" t="n">
        <f aca="false">'17.Цена_ФинРезультаты'!D14</f>
        <v>736158466.7435</v>
      </c>
    </row>
    <row r="18" customFormat="false" ht="15" hidden="false" customHeight="false" outlineLevel="0" collapsed="false">
      <c r="A18" s="3" t="s">
        <v>324</v>
      </c>
      <c r="B18" s="3" t="s">
        <v>325</v>
      </c>
      <c r="C18" s="3" t="s">
        <v>300</v>
      </c>
      <c r="D18" s="9" t="n">
        <f aca="false">'17.Цена_ФинРезультаты'!D16</f>
        <v>373078351.276822</v>
      </c>
    </row>
    <row r="19" customFormat="false" ht="15" hidden="false" customHeight="false" outlineLevel="0" collapsed="false">
      <c r="A19" s="3" t="s">
        <v>326</v>
      </c>
      <c r="B19" s="3" t="s">
        <v>327</v>
      </c>
      <c r="C19" s="3" t="s">
        <v>300</v>
      </c>
      <c r="D19" s="9" t="n">
        <f aca="false">'17.Цена_ФинРезультаты'!D18</f>
        <v>279808763.457616</v>
      </c>
    </row>
    <row r="20" customFormat="false" ht="25.35" hidden="false" customHeight="false" outlineLevel="0" collapsed="false">
      <c r="A20" s="3" t="s">
        <v>328</v>
      </c>
      <c r="B20" s="3" t="s">
        <v>329</v>
      </c>
      <c r="C20" s="3" t="s">
        <v>330</v>
      </c>
      <c r="D20" s="9" t="n">
        <f aca="false">ROUND('17.Цена_ФинРезультаты'!D18/'8.КапЗатраты(п.3)'!C17*100,3)</f>
        <v>20.121</v>
      </c>
    </row>
    <row r="21" customFormat="false" ht="25.35" hidden="false" customHeight="false" outlineLevel="0" collapsed="false">
      <c r="A21" s="3" t="s">
        <v>331</v>
      </c>
      <c r="B21" s="3" t="s">
        <v>332</v>
      </c>
      <c r="C21" s="3" t="s">
        <v>333</v>
      </c>
      <c r="D21" s="9" t="n">
        <f aca="false">ROUND('8.КапЗатраты(п.3)'!C17/'17.Цена_ФинРезультаты'!D18,2)</f>
        <v>4.97</v>
      </c>
    </row>
    <row r="23" customFormat="false" ht="25.35" hidden="false" customHeight="false" outlineLevel="0" collapsed="false">
      <c r="A23" s="3" t="s">
        <v>334</v>
      </c>
      <c r="B23" s="3" t="str">
        <f aca="false">IF(D21&lt;=7,"Срок окупаемости не более 5-7 лет — проект создания предприятия ЭФФЕКТИВЕН","Срок окупаемости превышает 7 лет — проект НЕэффективен")</f>
        <v>Срок окупаемости не более 5-7 лет — проект создания предприятия ЭФФЕКТИВЕН</v>
      </c>
      <c r="C23" s="3"/>
      <c r="D23" s="3"/>
    </row>
  </sheetData>
  <mergeCells count="2">
    <mergeCell ref="A1:D1"/>
    <mergeCell ref="B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2026-09-18T07:22:43Z</dcterms:created>
  <dc:creator>openpyxl</dc:creator>
  <dc:description/>
  <dc:language>en-US</dc:language>
  <cp:lastModifiedBy/>
  <dcterms:modified xsi:type="dcterms:W3CDTF">2026-09-18T07:22:45Z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